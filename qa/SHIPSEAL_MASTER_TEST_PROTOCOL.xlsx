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18f6e2179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b95f0bc42cf477d"/>
    <x:sheet xmlns:r="http://schemas.openxmlformats.org/officeDocument/2006/relationships" name="Test Cases" sheetId="2" r:id="Re193fbc42c604725"/>
    <x:sheet xmlns:r="http://schemas.openxmlformats.org/officeDocument/2006/relationships" name="Run Summary" sheetId="3" r:id="R33b40ebca09c4463"/>
    <x:sheet xmlns:r="http://schemas.openxmlformats.org/officeDocument/2006/relationships" name="Test Data" sheetId="4" r:id="R401648a8430a415c"/>
    <x:sheet xmlns:r="http://schemas.openxmlformats.org/officeDocument/2006/relationships" name="Defects" sheetId="5" r:id="R68899b785285424e"/>
    <x:sheet xmlns:r="http://schemas.openxmlformats.org/officeDocument/2006/relationships" name="Go-NoGo" sheetId="6" r:id="R264671d24173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B1E7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163B"/>
      </x:patternFill>
    </x:fill>
    <x:fill>
      <x:patternFill patternType="solid">
        <x:fgColor rgb="FFEEE9FF"/>
      </x:patternFill>
    </x:fill>
    <x:fill>
      <x:patternFill patternType="solid">
        <x:fgColor rgb="FF5B35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146C2E"/>
      </x:font>
      <x:fill>
        <x:patternFill patternType="solid">
          <x:bgColor rgb="FFDDF5E3"/>
        </x:patternFill>
      </x:fill>
    </x:dxf>
    <x:dxf>
      <x:font>
        <x:b/>
        <x:color rgb="FF9D1C1C"/>
      </x:font>
      <x:fill>
        <x:patternFill patternType="solid">
          <x:bgColor rgb="FFFDE2E2"/>
        </x:patternFill>
      </x:fill>
    </x:dxf>
    <x:dxf>
      <x:font>
        <x:b/>
        <x:color rgb="FF8A5B00"/>
      </x:font>
      <x:fill>
        <x:patternFill patternType="solid">
          <x:bgColor rgb="FFFFF0CC"/>
        </x:patternFill>
      </x:fill>
    </x:dxf>
    <x:dxf>
      <x:font>
        <x:color rgb="FF4A4F59"/>
      </x:font>
      <x:fill>
        <x:patternFill patternType="solid">
          <x:bgColor rgb="FFECEE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5d90e5f6742a3" /><Relationship Type="http://schemas.openxmlformats.org/officeDocument/2006/relationships/theme" Target="/xl/theme/theme1.xml" Id="Rb0bf383332fc4d5c" /><Relationship Type="http://schemas.openxmlformats.org/officeDocument/2006/relationships/sharedStrings" Target="/xl/sharedStrings.xml" Id="R2bc38c49a92b405f" /><Relationship Type="http://schemas.openxmlformats.org/officeDocument/2006/relationships/worksheet" Target="/xl/worksheets/sheet1.xml" Id="Rfb95f0bc42cf477d" /><Relationship Type="http://schemas.openxmlformats.org/officeDocument/2006/relationships/worksheet" Target="/xl/worksheets/sheet2.xml" Id="Re193fbc42c604725" /><Relationship Type="http://schemas.openxmlformats.org/officeDocument/2006/relationships/worksheet" Target="/xl/worksheets/sheet3.xml" Id="R33b40ebca09c4463" /><Relationship Type="http://schemas.openxmlformats.org/officeDocument/2006/relationships/worksheet" Target="/xl/worksheets/sheet4.xml" Id="R401648a8430a415c" /><Relationship Type="http://schemas.openxmlformats.org/officeDocument/2006/relationships/worksheet" Target="/xl/worksheets/sheet5.xml" Id="R68899b785285424e" /><Relationship Type="http://schemas.openxmlformats.org/officeDocument/2006/relationships/worksheet" Target="/xl/worksheets/sheet6.xml" Id="R264671d241734e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0ed9aabe434d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'Run Summary'!$J$5:$J$9</c:f>
              <c:strCache>
                <c:ptCount val="0"/>
              </c:strCache>
            </c:strRef>
          </c:cat>
          <c:val>
            <c:numRef>
              <c:f>'Run Summary'!$K$5:$K$9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0ed9aabe434d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ipSealTestCases" displayName="ShipSealTestCases" ref="A1:P173" headerRowCount="1" totalsRowCount="0" totalsRowShown="0">
  <x:tableColumns count="16">
    <x:tableColumn id="1" name="ID"/>
    <x:tableColumn id="2" name="Phase"/>
    <x:tableColumn id="3" name="Area"/>
    <x:tableColumn id="4" name="Priority"/>
    <x:tableColumn id="5" name="Execution"/>
    <x:tableColumn id="6" name="Account"/>
    <x:tableColumn id="7" name="Environment"/>
    <x:tableColumn id="8" name="Test case"/>
    <x:tableColumn id="9" name="Steps"/>
    <x:tableColumn id="10" name="Expected result"/>
    <x:tableColumn id="11" name="Result"/>
    <x:tableColumn id="12" name="Actual / Notes"/>
    <x:tableColumn id="13" name="Evidence"/>
    <x:tableColumn id="14" name="Defect ID"/>
    <x:tableColumn id="15" name="Tester"/>
    <x:tableColumn id="16" name="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SealTestData" displayName="ShipSealTestData" ref="A1:H14" headerRowCount="1" totalsRowCount="0" totalsRowShown="0">
  <x:tableColumns count="8">
    <x:tableColumn id="1" name="Type"/>
    <x:tableColumn id="2" name="Name / Identifier"/>
    <x:tableColumn id="3" name="Purpose"/>
    <x:tableColumn id="4" name="Account/Tier"/>
    <x:tableColumn id="5" name="Safe to mutate?"/>
    <x:tableColumn id="6" name="Expected size/role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ipSealDefects" displayName="ShipSealDefects" ref="A1:L300" headerRowCount="1" totalsRowCount="0" totalsRowShown="0">
  <x:tableColumns count="12">
    <x:tableColumn id="1" name="Defect ID"/>
    <x:tableColumn id="2" name="Test ID"/>
    <x:tableColumn id="3" name="Title"/>
    <x:tableColumn id="4" name="Severity"/>
    <x:tableColumn id="5" name="Status"/>
    <x:tableColumn id="6" name="Environment"/>
    <x:tableColumn id="7" name="Steps / Trigger"/>
    <x:tableColumn id="8" name="Expected"/>
    <x:tableColumn id="9" name="Actual"/>
    <x:tableColumn id="10" name="Owner"/>
    <x:tableColumn id="11" name="Evidence"/>
    <x:tableColumn id="12" name="Resolution / Rete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ipSealGoNoGo" displayName="ShipSealGoNoGo" ref="A1:G14" headerRowCount="1" totalsRowCount="0" totalsRowShown="0">
  <x:tableColumns count="7">
    <x:tableColumn id="1" name="Gate"/>
    <x:tableColumn id="2" name="Owner"/>
    <x:tableColumn id="3" name="Decision / Value"/>
    <x:tableColumn id="4" name="Required?"/>
    <x:tableColumn id="5" name="Status"/>
    <x:tableColumn id="6" name="Evidence / Link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8edf38f1e54e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769e43e086c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6b151e440234d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ddabc71d9554b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491996fcd54ba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2" hidden="0" customWidth="1"/>
    <x:col min="4" max="4" width="44" hidden="0" customWidth="1"/>
  </x:cols>
  <x:sheetData>
    <x:row r="1" ht="28" customHeight="1">
      <x:c r="A1" s="4" t="str">
        <x:v>ShipSeal — Master Closed-Beta Test Protocol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16" t="str">
        <x:v>Purpose</x:v>
      </x:c>
      <x:c r="B4" s="17" t="str">
        <x:v>End-to-end manual/production acceptance protocol for every major ShipSeal function before controlled closed beta.</x:v>
      </x:c>
    </x:row>
    <x:row r="5">
      <x:c r="A5" s="16" t="str">
        <x:v>Primary flow</x:v>
      </x:c>
      <x:c r="B5" s="17" t="str">
        <x:v>Scan → Explore → Choose → Execute</x:v>
      </x:c>
    </x:row>
    <x:row r="6">
      <x:c r="A6" s="16" t="str">
        <x:v>Execution rule</x:v>
      </x:c>
      <x:c r="B6" s="17" t="str">
        <x:v>Run in order. Record Actual Result, Result, Evidence and Defect ID for every executed case.</x:v>
      </x:c>
    </x:row>
    <x:row r="7">
      <x:c r="A7" s="16" t="str">
        <x:v>Result values</x:v>
      </x:c>
      <x:c r="B7" s="17" t="str">
        <x:v>NOT RUN / PASS / FAIL / BLOCKED / N/A</x:v>
      </x:c>
    </x:row>
    <x:row r="8">
      <x:c r="A8" s="16" t="str">
        <x:v>Severity</x:v>
      </x:c>
      <x:c r="B8" s="17" t="str">
        <x:v>P0 = security/data/billing/mutation/lost paid result; P1 = primary flow blocked; P2 = polish/minor limitation.</x:v>
      </x:c>
    </x:row>
    <x:row r="9">
      <x:c r="A9" s="16" t="str">
        <x:v>Production safety</x:v>
      </x:c>
      <x:c r="B9" s="17" t="str">
        <x:v>Do not intentionally create destructive live Stripe/GitHub failures where a controlled fixture proves the same contract.</x:v>
      </x:c>
    </x:row>
    <x:row r="10">
      <x:c r="A10" s="16" t="str">
        <x:v>Evidence</x:v>
      </x:c>
      <x:c r="B10" s="17" t="str">
        <x:v>Screenshot, downloaded artifact path, PR URL, support reference, or concise note.</x:v>
      </x:c>
    </x:row>
    <x:row r="11">
      <x:c r="A11" s="16" t="str">
        <x:v>Release gate</x:v>
      </x:c>
      <x:c r="B11" s="17" t="str">
        <x:v>Closed beta: P0=0 and P1=0, unless an explicit owner-approved beta exception exists.</x:v>
      </x:c>
    </x:row>
    <x:row r="12">
      <x:c r="A12" s="16" t="str">
        <x:v>QA principle</x:v>
      </x:c>
      <x:c r="B12" s="17" t="str">
        <x:v>No customer should need DevTools for normal diagnosis; use support references + Admin.</x:v>
      </x:c>
    </x:row>
    <x:row r="14">
      <x:c r="A14" s="10" t="str">
        <x:v>Recommended execution phases</x:v>
      </x:c>
      <x:c r="B14" s="10"/>
      <x:c r="C14" s="10"/>
      <x:c r="D14" s="10"/>
      <x:c r="E14" s="10"/>
      <x:c r="F14" s="10"/>
      <x:c r="G14" s="10"/>
      <x:c r="H14" s="10"/>
    </x:row>
    <x:row r="15">
      <x:c r="A15" s="23" t="str">
        <x:v>Phase</x:v>
      </x:c>
      <x:c r="B15" s="23" t="str">
        <x:v>Scope</x:v>
      </x:c>
      <x:c r="C15" s="23" t="str">
        <x:v>When</x:v>
      </x:c>
      <x:c r="D15" s="23" t="str">
        <x:v>Exit</x:v>
      </x:c>
    </x:row>
    <x:row r="16">
      <x:c r="A16" s="14" t="str">
        <x:v>0</x:v>
      </x:c>
      <x:c r="B16" s="14" t="str">
        <x:v>Preflight / deployment / environment</x:v>
      </x:c>
      <x:c r="C16" s="14" t="str">
        <x:v>Before every full run</x:v>
      </x:c>
      <x:c r="D16" s="14" t="str">
        <x:v>Production is healthy and testable</x:v>
      </x:c>
    </x:row>
    <x:row r="17">
      <x:c r="A17" s="14" t="str">
        <x:v>1</x:v>
      </x:c>
      <x:c r="B17" s="14" t="str">
        <x:v>Public UX / auth / repository sources</x:v>
      </x:c>
      <x:c r="C17" s="14" t="str">
        <x:v>First</x:v>
      </x:c>
      <x:c r="D17" s="14" t="str">
        <x:v>User can enter and scan</x:v>
      </x:c>
    </x:row>
    <x:row r="18">
      <x:c r="A18" s="14" t="str">
        <x:v>2</x:v>
      </x:c>
      <x:c r="B18" s="14" t="str">
        <x:v>Scan engine / persistence</x:v>
      </x:c>
      <x:c r="C18" s="14" t="str">
        <x:v>Next</x:v>
      </x:c>
      <x:c r="D18" s="14" t="str">
        <x:v>Reliable, durable repository result</x:v>
      </x:c>
    </x:row>
    <x:row r="19">
      <x:c r="A19" s="14" t="str">
        <x:v>3</x:v>
      </x:c>
      <x:c r="B19" s="14" t="str">
        <x:v>Universe / Futures / Fast Path</x:v>
      </x:c>
      <x:c r="C19" s="14" t="str">
        <x:v>Core product</x:v>
      </x:c>
      <x:c r="D19" s="14" t="str">
        <x:v>Useful outcome in ≤4 meaningful clicks</x:v>
      </x:c>
    </x:row>
    <x:row r="20">
      <x:c r="A20" s="14" t="str">
        <x:v>4</x:v>
      </x:c>
      <x:c r="B20" s="14" t="str">
        <x:v>Plans / Delivery / PR / Verify</x:v>
      </x:c>
      <x:c r="C20" s="14" t="str">
        <x:v>Outcome</x:v>
      </x:c>
      <x:c r="D20" s="14" t="str">
        <x:v>Agent-ready and delivery outputs usable</x:v>
      </x:c>
    </x:row>
    <x:row r="21">
      <x:c r="A21" s="14" t="str">
        <x:v>5</x:v>
      </x:c>
      <x:c r="B21" s="14" t="str">
        <x:v>Stripe / billing / entitlement</x:v>
      </x:c>
      <x:c r="C21" s="14" t="str">
        <x:v>Paid flow</x:v>
      </x:c>
      <x:c r="D21" s="14" t="str">
        <x:v>No incorrect charge or entitlement state</x:v>
      </x:c>
    </x:row>
    <x:row r="22">
      <x:c r="A22" s="14" t="str">
        <x:v>6</x:v>
      </x:c>
      <x:c r="B22" s="14" t="str">
        <x:v>Trust / Admin / support / recovery</x:v>
      </x:c>
      <x:c r="C22" s="14" t="str">
        <x:v>Operations</x:v>
      </x:c>
      <x:c r="D22" s="14" t="str">
        <x:v>Operator can diagnose without DevTools</x:v>
      </x:c>
    </x:row>
    <x:row r="23">
      <x:c r="A23" s="14" t="str">
        <x:v>7</x:v>
      </x:c>
      <x:c r="B23" s="14" t="str">
        <x:v>Responsive / accessibility / quality gates</x:v>
      </x:c>
      <x:c r="C23" s="14" t="str">
        <x:v>Release</x:v>
      </x:c>
      <x:c r="D23" s="14" t="str">
        <x:v>No P0/P1 remaining</x:v>
      </x:c>
    </x:row>
    <x:row r="24">
      <x:c r="A24" s="14" t="str">
        <x:v>8</x:v>
      </x:c>
      <x:c r="B24" s="14" t="str">
        <x:v>Closed-beta Go/No-Go</x:v>
      </x:c>
      <x:c r="C24" s="14" t="str">
        <x:v>Final</x:v>
      </x:c>
      <x:c r="D24" s="14" t="str">
        <x:v>Human decisions completed</x:v>
      </x:c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0" hidden="0" customWidth="1"/>
    <x:col min="4" max="4" width="9" hidden="0" customWidth="1"/>
    <x:col min="5" max="5" width="20" hidden="0" customWidth="1"/>
    <x:col min="6" max="6" width="18" hidden="0" customWidth="1"/>
    <x:col min="7" max="7" width="18" hidden="0" customWidth="1"/>
    <x:col min="8" max="8" width="32" hidden="0" customWidth="1"/>
    <x:col min="9" max="9" width="50" hidden="0" customWidth="1"/>
    <x:col min="10" max="10" width="56" hidden="0" customWidth="1"/>
    <x:col min="11" max="11" width="12" hidden="0" customWidth="1"/>
    <x:col min="12" max="12" width="42" hidden="0" customWidth="1"/>
    <x:col min="13" max="13" width="34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>
      <x:c r="A1" s="23" t="str">
        <x:v>ID</x:v>
      </x:c>
      <x:c r="B1" s="23" t="str">
        <x:v>Phase</x:v>
      </x:c>
      <x:c r="C1" s="23" t="str">
        <x:v>Area</x:v>
      </x:c>
      <x:c r="D1" s="23" t="str">
        <x:v>Priority</x:v>
      </x:c>
      <x:c r="E1" s="23" t="str">
        <x:v>Execution</x:v>
      </x:c>
      <x:c r="F1" s="23" t="str">
        <x:v>Account</x:v>
      </x:c>
      <x:c r="G1" s="23" t="str">
        <x:v>Environment</x:v>
      </x:c>
      <x:c r="H1" s="23" t="str">
        <x:v>Test case</x:v>
      </x:c>
      <x:c r="I1" s="23" t="str">
        <x:v>Steps</x:v>
      </x:c>
      <x:c r="J1" s="23" t="str">
        <x:v>Expected result</x:v>
      </x:c>
      <x:c r="K1" s="23" t="str">
        <x:v>Result</x:v>
      </x:c>
      <x:c r="L1" s="23" t="str">
        <x:v>Actual / Notes</x:v>
      </x:c>
      <x:c r="M1" s="23" t="str">
        <x:v>Evidence</x:v>
      </x:c>
      <x:c r="N1" s="23" t="str">
        <x:v>Defect ID</x:v>
      </x:c>
      <x:c r="O1" s="23" t="str">
        <x:v>Tester</x:v>
      </x:c>
      <x:c r="P1" s="23" t="str">
        <x:v>Date</x:v>
      </x:c>
    </x:row>
    <x:row r="2">
      <x:c r="A2" s="17" t="str">
        <x:v>SS-001</x:v>
      </x:c>
      <x:c r="B2" s="17" t="n">
        <x:v>0</x:v>
      </x:c>
      <x:c r="C2" s="17" t="str">
        <x:v>Preflight</x:v>
      </x:c>
      <x:c r="D2" s="17" t="str">
        <x:v>P0</x:v>
      </x:c>
      <x:c r="E2" s="17" t="str">
        <x:v>Production safe</x:v>
      </x:c>
      <x:c r="F2" s="17" t="str">
        <x:v>Admin</x:v>
      </x:c>
      <x:c r="G2" s="17" t="str">
        <x:v>Production</x:v>
      </x:c>
      <x:c r="H2" s="17" t="str">
        <x:v>Canonical domain</x:v>
      </x:c>
      <x:c r="I2" s="17" t="str">
        <x:v>Open http(s)://getshipseal.com and verify redirect.</x:v>
      </x:c>
      <x:c r="J2" s="17" t="str">
        <x:v>Apex redirects permanently to https://www.getshipseal.com; no split-session behavior.</x:v>
      </x:c>
      <x:c r="K2" s="17" t="str">
        <x:v>NOT RUN</x:v>
      </x:c>
      <x:c r="L2" s="17" t="str"/>
      <x:c r="M2" s="17" t="str"/>
      <x:c r="N2" s="17" t="str"/>
      <x:c r="O2" s="17" t="str"/>
      <x:c r="P2" s="17" t="str"/>
    </x:row>
    <x:row r="3">
      <x:c r="A3" s="17" t="str">
        <x:v>SS-002</x:v>
      </x:c>
      <x:c r="B3" s="17" t="n">
        <x:v>0</x:v>
      </x:c>
      <x:c r="C3" s="17" t="str">
        <x:v>Preflight</x:v>
      </x:c>
      <x:c r="D3" s="17" t="str">
        <x:v>P0</x:v>
      </x:c>
      <x:c r="E3" s="17" t="str">
        <x:v>Production safe</x:v>
      </x:c>
      <x:c r="F3" s="17" t="str">
        <x:v>Anonymous</x:v>
      </x:c>
      <x:c r="G3" s="17" t="str">
        <x:v>Production</x:v>
      </x:c>
      <x:c r="H3" s="17" t="str">
        <x:v>Health endpoint</x:v>
      </x:c>
      <x:c r="I3" s="17" t="str">
        <x:v>Open /api/health.</x:v>
      </x:c>
      <x:c r="J3" s="17" t="str">
        <x:v>200 with minimal {status: ok}; no configuration leakage.</x:v>
      </x:c>
      <x:c r="K3" s="17" t="str">
        <x:v>NOT RUN</x:v>
      </x:c>
      <x:c r="L3" s="17" t="str"/>
      <x:c r="M3" s="17" t="str"/>
      <x:c r="N3" s="17" t="str"/>
      <x:c r="O3" s="17" t="str"/>
      <x:c r="P3" s="17" t="str"/>
    </x:row>
    <x:row r="4">
      <x:c r="A4" s="17" t="str">
        <x:v>SS-003</x:v>
      </x:c>
      <x:c r="B4" s="17" t="n">
        <x:v>0</x:v>
      </x:c>
      <x:c r="C4" s="17" t="str">
        <x:v>Preflight</x:v>
      </x:c>
      <x:c r="D4" s="17" t="str">
        <x:v>P0</x:v>
      </x:c>
      <x:c r="E4" s="17" t="str">
        <x:v>Production safe</x:v>
      </x:c>
      <x:c r="F4" s="17" t="str">
        <x:v>Admin</x:v>
      </x:c>
      <x:c r="G4" s="17" t="str">
        <x:v>Production</x:v>
      </x:c>
      <x:c r="H4" s="17" t="str">
        <x:v>Latest production deployment</x:v>
      </x:c>
      <x:c r="I4" s="17" t="str">
        <x:v>Confirm Vercel Production points to intended main commit.</x:v>
      </x:c>
      <x:c r="J4" s="17" t="str">
        <x:v>Deployment READY; canonical alias is www.getshipseal.com.</x:v>
      </x:c>
      <x:c r="K4" s="17" t="str">
        <x:v>NOT RUN</x:v>
      </x:c>
      <x:c r="L4" s="17" t="str"/>
      <x:c r="M4" s="17" t="str"/>
      <x:c r="N4" s="17" t="str"/>
      <x:c r="O4" s="17" t="str"/>
      <x:c r="P4" s="17" t="str"/>
    </x:row>
    <x:row r="5">
      <x:c r="A5" s="17" t="str">
        <x:v>SS-004</x:v>
      </x:c>
      <x:c r="B5" s="17" t="n">
        <x:v>0</x:v>
      </x:c>
      <x:c r="C5" s="17" t="str">
        <x:v>Preflight</x:v>
      </x:c>
      <x:c r="D5" s="17" t="str">
        <x:v>P0</x:v>
      </x:c>
      <x:c r="E5" s="17" t="str">
        <x:v>Production safe</x:v>
      </x:c>
      <x:c r="F5" s="17" t="str">
        <x:v>Admin</x:v>
      </x:c>
      <x:c r="G5" s="17" t="str">
        <x:v>Production</x:v>
      </x:c>
      <x:c r="H5" s="17" t="str">
        <x:v>Database migrations</x:v>
      </x:c>
      <x:c r="I5" s="17" t="str">
        <x:v>Verify migrations 0001–0008 are applied.</x:v>
      </x:c>
      <x:c r="J5" s="17" t="str">
        <x:v>0008_operational_events present; no pending launch-critical migration.</x:v>
      </x:c>
      <x:c r="K5" s="17" t="str">
        <x:v>NOT RUN</x:v>
      </x:c>
      <x:c r="L5" s="17" t="str"/>
      <x:c r="M5" s="17" t="str"/>
      <x:c r="N5" s="17" t="str"/>
      <x:c r="O5" s="17" t="str"/>
      <x:c r="P5" s="17" t="str"/>
    </x:row>
    <x:row r="6">
      <x:c r="A6" s="17" t="str">
        <x:v>SS-005</x:v>
      </x:c>
      <x:c r="B6" s="17" t="n">
        <x:v>0</x:v>
      </x:c>
      <x:c r="C6" s="17" t="str">
        <x:v>Preflight</x:v>
      </x:c>
      <x:c r="D6" s="17" t="str">
        <x:v>P0</x:v>
      </x:c>
      <x:c r="E6" s="17" t="str">
        <x:v>Production safe</x:v>
      </x:c>
      <x:c r="F6" s="17" t="str">
        <x:v>Admin</x:v>
      </x:c>
      <x:c r="G6" s="17" t="str">
        <x:v>Production</x:v>
      </x:c>
      <x:c r="H6" s="17" t="str">
        <x:v>Required env configuration</x:v>
      </x:c>
      <x:c r="I6" s="17" t="str">
        <x:v>Check required variable names only; do not expose values.</x:v>
      </x:c>
      <x:c r="J6" s="17" t="str">
        <x:v>DB, account OAuth, GitHub App, AI guardrails, Stripe, admin allowlist all configured.</x:v>
      </x:c>
      <x:c r="K6" s="17" t="str">
        <x:v>NOT RUN</x:v>
      </x:c>
      <x:c r="L6" s="17" t="str"/>
      <x:c r="M6" s="17" t="str"/>
      <x:c r="N6" s="17" t="str"/>
      <x:c r="O6" s="17" t="str"/>
      <x:c r="P6" s="17" t="str"/>
    </x:row>
    <x:row r="7">
      <x:c r="A7" s="17" t="str">
        <x:v>SS-006</x:v>
      </x:c>
      <x:c r="B7" s="17" t="n">
        <x:v>0</x:v>
      </x:c>
      <x:c r="C7" s="17" t="str">
        <x:v>Preflight</x:v>
      </x:c>
      <x:c r="D7" s="17" t="str">
        <x:v>P0</x:v>
      </x:c>
      <x:c r="E7" s="17" t="str">
        <x:v>Automated</x:v>
      </x:c>
      <x:c r="F7" s="17" t="str">
        <x:v>Developer</x:v>
      </x:c>
      <x:c r="G7" s="17" t="str">
        <x:v>Local/CI</x:v>
      </x:c>
      <x:c r="H7" s="17" t="str">
        <x:v>Browser bundle leakage</x:v>
      </x:c>
      <x:c r="I7" s="17" t="str">
        <x:v>Run build:report and inspect forbidden server markers.</x:v>
      </x:c>
      <x:c r="J7" s="17" t="str">
        <x:v>No server-only provider/account/secret markers in browser assets.</x:v>
      </x:c>
      <x:c r="K7" s="17" t="str">
        <x:v>NOT RUN</x:v>
      </x:c>
      <x:c r="L7" s="17" t="str"/>
      <x:c r="M7" s="17" t="str"/>
      <x:c r="N7" s="17" t="str"/>
      <x:c r="O7" s="17" t="str"/>
      <x:c r="P7" s="17" t="str"/>
    </x:row>
    <x:row r="8">
      <x:c r="A8" s="17" t="str">
        <x:v>SS-007</x:v>
      </x:c>
      <x:c r="B8" s="17" t="n">
        <x:v>0</x:v>
      </x:c>
      <x:c r="C8" s="17" t="str">
        <x:v>Preflight</x:v>
      </x:c>
      <x:c r="D8" s="17" t="str">
        <x:v>P1</x:v>
      </x:c>
      <x:c r="E8" s="17" t="str">
        <x:v>Production safe</x:v>
      </x:c>
      <x:c r="F8" s="17" t="str">
        <x:v>Anonymous</x:v>
      </x:c>
      <x:c r="G8" s="17" t="str">
        <x:v>Production</x:v>
      </x:c>
      <x:c r="H8" s="17" t="str">
        <x:v>App shell smoke</x:v>
      </x:c>
      <x:c r="I8" s="17" t="str">
        <x:v>Open landing; inspect console/network.</x:v>
      </x:c>
      <x:c r="J8" s="17" t="str">
        <x:v>Page renders with no console error or failed critical asset.</x:v>
      </x:c>
      <x:c r="K8" s="17" t="str">
        <x:v>NOT RUN</x:v>
      </x:c>
      <x:c r="L8" s="17" t="str"/>
      <x:c r="M8" s="17" t="str"/>
      <x:c r="N8" s="17" t="str"/>
      <x:c r="O8" s="17" t="str"/>
      <x:c r="P8" s="17" t="str"/>
    </x:row>
    <x:row r="9">
      <x:c r="A9" s="17" t="str">
        <x:v>SS-008</x:v>
      </x:c>
      <x:c r="B9" s="17" t="n">
        <x:v>0</x:v>
      </x:c>
      <x:c r="C9" s="17" t="str">
        <x:v>Preflight</x:v>
      </x:c>
      <x:c r="D9" s="17" t="str">
        <x:v>P1</x:v>
      </x:c>
      <x:c r="E9" s="17" t="str">
        <x:v>Production safe</x:v>
      </x:c>
      <x:c r="F9" s="17" t="str">
        <x:v>Admin</x:v>
      </x:c>
      <x:c r="G9" s="17" t="str">
        <x:v>Production</x:v>
      </x:c>
      <x:c r="H9" s="17" t="str">
        <x:v>HTTPS / canonical auth origin</x:v>
      </x:c>
      <x:c r="I9" s="17" t="str">
        <x:v>Run account login from canonical domain.</x:v>
      </x:c>
      <x:c r="J9" s="17" t="str">
        <x:v>OAuth starts on www.getshipseal.com and returns to same canonical origin.</x:v>
      </x:c>
      <x:c r="K9" s="17" t="str">
        <x:v>NOT RUN</x:v>
      </x:c>
      <x:c r="L9" s="17" t="str"/>
      <x:c r="M9" s="17" t="str"/>
      <x:c r="N9" s="17" t="str"/>
      <x:c r="O9" s="17" t="str"/>
      <x:c r="P9" s="17" t="str"/>
    </x:row>
    <x:row r="10">
      <x:c r="A10" s="17" t="str">
        <x:v>SS-009</x:v>
      </x:c>
      <x:c r="B10" s="17" t="n">
        <x:v>1</x:v>
      </x:c>
      <x:c r="C10" s="17" t="str">
        <x:v>Landing</x:v>
      </x:c>
      <x:c r="D10" s="17" t="str">
        <x:v>P1</x:v>
      </x:c>
      <x:c r="E10" s="17" t="str">
        <x:v>Production safe</x:v>
      </x:c>
      <x:c r="F10" s="17" t="str">
        <x:v>Anonymous</x:v>
      </x:c>
      <x:c r="G10" s="17" t="str">
        <x:v>Production</x:v>
      </x:c>
      <x:c r="H10" s="17" t="str">
        <x:v>Value proposition</x:v>
      </x:c>
      <x:c r="I10" s="17" t="str">
        <x:v>Open landing without scrolling.</x:v>
      </x:c>
      <x:c r="J10" s="17" t="str">
        <x:v>User can understand purpose and primary action quickly.</x:v>
      </x:c>
      <x:c r="K10" s="17" t="str">
        <x:v>NOT RUN</x:v>
      </x:c>
      <x:c r="L10" s="17" t="str"/>
      <x:c r="M10" s="17" t="str"/>
      <x:c r="N10" s="17" t="str"/>
      <x:c r="O10" s="17" t="str"/>
      <x:c r="P10" s="17" t="str"/>
    </x:row>
    <x:row r="11">
      <x:c r="A11" s="17" t="str">
        <x:v>SS-010</x:v>
      </x:c>
      <x:c r="B11" s="17" t="n">
        <x:v>1</x:v>
      </x:c>
      <x:c r="C11" s="17" t="str">
        <x:v>Landing</x:v>
      </x:c>
      <x:c r="D11" s="17" t="str">
        <x:v>P1</x:v>
      </x:c>
      <x:c r="E11" s="17" t="str">
        <x:v>Production safe</x:v>
      </x:c>
      <x:c r="F11" s="17" t="str">
        <x:v>Anonymous</x:v>
      </x:c>
      <x:c r="G11" s="17" t="str">
        <x:v>Production</x:v>
      </x:c>
      <x:c r="H11" s="17" t="str">
        <x:v>Primary CTA</x:v>
      </x:c>
      <x:c r="I11" s="17" t="str">
        <x:v>Click Scan my repository.</x:v>
      </x:c>
      <x:c r="J11" s="17" t="str">
        <x:v>Source selection opens directly; no unnecessary wizard.</x:v>
      </x:c>
      <x:c r="K11" s="17" t="str">
        <x:v>NOT RUN</x:v>
      </x:c>
      <x:c r="L11" s="17" t="str"/>
      <x:c r="M11" s="17" t="str"/>
      <x:c r="N11" s="17" t="str"/>
      <x:c r="O11" s="17" t="str"/>
      <x:c r="P11" s="17" t="str"/>
    </x:row>
    <x:row r="12">
      <x:c r="A12" s="17" t="str">
        <x:v>SS-011</x:v>
      </x:c>
      <x:c r="B12" s="17" t="n">
        <x:v>1</x:v>
      </x:c>
      <x:c r="C12" s="17" t="str">
        <x:v>Landing</x:v>
      </x:c>
      <x:c r="D12" s="17" t="str">
        <x:v>P2</x:v>
      </x:c>
      <x:c r="E12" s="17" t="str">
        <x:v>Production safe</x:v>
      </x:c>
      <x:c r="F12" s="17" t="str">
        <x:v>Anonymous</x:v>
      </x:c>
      <x:c r="G12" s="17" t="str">
        <x:v>Production</x:v>
      </x:c>
      <x:c r="H12" s="17" t="str">
        <x:v>Pricing access</x:v>
      </x:c>
      <x:c r="I12" s="17" t="str">
        <x:v>Open Pricing.</x:v>
      </x:c>
      <x:c r="J12" s="17" t="str">
        <x:v>Pricing page/section loads; Pro offer is understandable.</x:v>
      </x:c>
      <x:c r="K12" s="17" t="str">
        <x:v>NOT RUN</x:v>
      </x:c>
      <x:c r="L12" s="17" t="str"/>
      <x:c r="M12" s="17" t="str"/>
      <x:c r="N12" s="17" t="str"/>
      <x:c r="O12" s="17" t="str"/>
      <x:c r="P12" s="17" t="str"/>
    </x:row>
    <x:row r="13">
      <x:c r="A13" s="17" t="str">
        <x:v>SS-012</x:v>
      </x:c>
      <x:c r="B13" s="17" t="n">
        <x:v>1</x:v>
      </x:c>
      <x:c r="C13" s="17" t="str">
        <x:v>Landing</x:v>
      </x:c>
      <x:c r="D13" s="17" t="str">
        <x:v>P1</x:v>
      </x:c>
      <x:c r="E13" s="17" t="str">
        <x:v>Production safe</x:v>
      </x:c>
      <x:c r="F13" s="17" t="str">
        <x:v>Anonymous</x:v>
      </x:c>
      <x:c r="G13" s="17" t="str">
        <x:v>Production</x:v>
      </x:c>
      <x:c r="H13" s="17" t="str">
        <x:v>Trust links</x:v>
      </x:c>
      <x:c r="I13" s="17" t="str">
        <x:v>Open Privacy, Terms, Security from public UI/footer.</x:v>
      </x:c>
      <x:c r="J13" s="17" t="str">
        <x:v>All routes work on direct load and refresh.</x:v>
      </x:c>
      <x:c r="K13" s="17" t="str">
        <x:v>NOT RUN</x:v>
      </x:c>
      <x:c r="L13" s="17" t="str"/>
      <x:c r="M13" s="17" t="str"/>
      <x:c r="N13" s="17" t="str"/>
      <x:c r="O13" s="17" t="str"/>
      <x:c r="P13" s="17" t="str"/>
    </x:row>
    <x:row r="14">
      <x:c r="A14" s="17" t="str">
        <x:v>SS-013</x:v>
      </x:c>
      <x:c r="B14" s="17" t="n">
        <x:v>1</x:v>
      </x:c>
      <x:c r="C14" s="17" t="str">
        <x:v>Landing</x:v>
      </x:c>
      <x:c r="D14" s="17" t="str">
        <x:v>P2</x:v>
      </x:c>
      <x:c r="E14" s="17" t="str">
        <x:v>Production safe</x:v>
      </x:c>
      <x:c r="F14" s="17" t="str">
        <x:v>Anonymous</x:v>
      </x:c>
      <x:c r="G14" s="17" t="str">
        <x:v>Production</x:v>
      </x:c>
      <x:c r="H14" s="17" t="str">
        <x:v>Theme toggle</x:v>
      </x:c>
      <x:c r="I14" s="17" t="str">
        <x:v>Switch Light/Dark/System if available.</x:v>
      </x:c>
      <x:c r="J14" s="17" t="str">
        <x:v>Theme changes without flash/broken contrast.</x:v>
      </x:c>
      <x:c r="K14" s="17" t="str">
        <x:v>NOT RUN</x:v>
      </x:c>
      <x:c r="L14" s="17" t="str"/>
      <x:c r="M14" s="17" t="str"/>
      <x:c r="N14" s="17" t="str"/>
      <x:c r="O14" s="17" t="str"/>
      <x:c r="P14" s="17" t="str"/>
    </x:row>
    <x:row r="15">
      <x:c r="A15" s="17" t="str">
        <x:v>SS-014</x:v>
      </x:c>
      <x:c r="B15" s="17" t="n">
        <x:v>1</x:v>
      </x:c>
      <x:c r="C15" s="17" t="str">
        <x:v>Auth</x:v>
      </x:c>
      <x:c r="D15" s="17" t="str">
        <x:v>P0</x:v>
      </x:c>
      <x:c r="E15" s="17" t="str">
        <x:v>Production safe</x:v>
      </x:c>
      <x:c r="F15" s="17" t="str">
        <x:v>Free</x:v>
      </x:c>
      <x:c r="G15" s="17" t="str">
        <x:v>Production</x:v>
      </x:c>
      <x:c r="H15" s="17" t="str">
        <x:v>GitHub account login</x:v>
      </x:c>
      <x:c r="I15" s="17" t="str">
        <x:v>Use /api/account/login or UI sign-in.</x:v>
      </x:c>
      <x:c r="J15" s="17" t="str">
        <x:v>GitHub OAuth returns authenticated ShipSeal session.</x:v>
      </x:c>
      <x:c r="K15" s="17" t="str">
        <x:v>NOT RUN</x:v>
      </x:c>
      <x:c r="L15" s="17" t="str"/>
      <x:c r="M15" s="17" t="str"/>
      <x:c r="N15" s="17" t="str"/>
      <x:c r="O15" s="17" t="str"/>
      <x:c r="P15" s="17" t="str"/>
    </x:row>
    <x:row r="16">
      <x:c r="A16" s="17" t="str">
        <x:v>SS-015</x:v>
      </x:c>
      <x:c r="B16" s="17" t="n">
        <x:v>1</x:v>
      </x:c>
      <x:c r="C16" s="17" t="str">
        <x:v>Auth</x:v>
      </x:c>
      <x:c r="D16" s="17" t="str">
        <x:v>P0</x:v>
      </x:c>
      <x:c r="E16" s="17" t="str">
        <x:v>Production safe</x:v>
      </x:c>
      <x:c r="F16" s="17" t="str">
        <x:v>Free</x:v>
      </x:c>
      <x:c r="G16" s="17" t="str">
        <x:v>Production</x:v>
      </x:c>
      <x:c r="H16" s="17" t="str">
        <x:v>Session endpoint</x:v>
      </x:c>
      <x:c r="I16" s="17" t="str">
        <x:v>Open /api/account/session after login.</x:v>
      </x:c>
      <x:c r="J16" s="17" t="str">
        <x:v>Returns current ShipSeal user; no secret fields.</x:v>
      </x:c>
      <x:c r="K16" s="17" t="str">
        <x:v>NOT RUN</x:v>
      </x:c>
      <x:c r="L16" s="17" t="str"/>
      <x:c r="M16" s="17" t="str"/>
      <x:c r="N16" s="17" t="str"/>
      <x:c r="O16" s="17" t="str"/>
      <x:c r="P16" s="17" t="str"/>
    </x:row>
    <x:row r="17">
      <x:c r="A17" s="17" t="str">
        <x:v>SS-016</x:v>
      </x:c>
      <x:c r="B17" s="17" t="n">
        <x:v>1</x:v>
      </x:c>
      <x:c r="C17" s="17" t="str">
        <x:v>Auth</x:v>
      </x:c>
      <x:c r="D17" s="17" t="str">
        <x:v>P1</x:v>
      </x:c>
      <x:c r="E17" s="17" t="str">
        <x:v>Production safe</x:v>
      </x:c>
      <x:c r="F17" s="17" t="str">
        <x:v>Free</x:v>
      </x:c>
      <x:c r="G17" s="17" t="str">
        <x:v>Production</x:v>
      </x:c>
      <x:c r="H17" s="17" t="str">
        <x:v>Logout</x:v>
      </x:c>
      <x:c r="I17" s="17" t="str">
        <x:v>Sign out then check session.</x:v>
      </x:c>
      <x:c r="J17" s="17" t="str">
        <x:v>Session becomes null and private pages no longer act authenticated.</x:v>
      </x:c>
      <x:c r="K17" s="17" t="str">
        <x:v>NOT RUN</x:v>
      </x:c>
      <x:c r="L17" s="17" t="str"/>
      <x:c r="M17" s="17" t="str"/>
      <x:c r="N17" s="17" t="str"/>
      <x:c r="O17" s="17" t="str"/>
      <x:c r="P17" s="17" t="str"/>
    </x:row>
    <x:row r="18">
      <x:c r="A18" s="17" t="str">
        <x:v>SS-017</x:v>
      </x:c>
      <x:c r="B18" s="17" t="n">
        <x:v>1</x:v>
      </x:c>
      <x:c r="C18" s="17" t="str">
        <x:v>Auth</x:v>
      </x:c>
      <x:c r="D18" s="17" t="str">
        <x:v>P1</x:v>
      </x:c>
      <x:c r="E18" s="17" t="str">
        <x:v>Production safe</x:v>
      </x:c>
      <x:c r="F18" s="17" t="str">
        <x:v>Free</x:v>
      </x:c>
      <x:c r="G18" s="17" t="str">
        <x:v>Production</x:v>
      </x:c>
      <x:c r="H18" s="17" t="str">
        <x:v>returnTo preservation</x:v>
      </x:c>
      <x:c r="I18" s="17" t="str">
        <x:v>Login with returnTo=/projects or /admin as appropriate.</x:v>
      </x:c>
      <x:c r="J18" s="17" t="str">
        <x:v>User returns safely to intended same-origin path.</x:v>
      </x:c>
      <x:c r="K18" s="17" t="str">
        <x:v>NOT RUN</x:v>
      </x:c>
      <x:c r="L18" s="17" t="str"/>
      <x:c r="M18" s="17" t="str"/>
      <x:c r="N18" s="17" t="str"/>
      <x:c r="O18" s="17" t="str"/>
      <x:c r="P18" s="17" t="str"/>
    </x:row>
    <x:row r="19">
      <x:c r="A19" s="17" t="str">
        <x:v>SS-018</x:v>
      </x:c>
      <x:c r="B19" s="17" t="n">
        <x:v>1</x:v>
      </x:c>
      <x:c r="C19" s="17" t="str">
        <x:v>Auth</x:v>
      </x:c>
      <x:c r="D19" s="17" t="str">
        <x:v>P0</x:v>
      </x:c>
      <x:c r="E19" s="17" t="str">
        <x:v>Controlled fixture</x:v>
      </x:c>
      <x:c r="F19" s="17" t="str">
        <x:v>Non-admin</x:v>
      </x:c>
      <x:c r="G19" s="17" t="str">
        <x:v>Fixture/Production</x:v>
      </x:c>
      <x:c r="H19" s="17" t="str">
        <x:v>Admin denial</x:v>
      </x:c>
      <x:c r="I19" s="17" t="str">
        <x:v>Request /api/admin as authenticated non-admin.</x:v>
      </x:c>
      <x:c r="J19" s="17" t="str">
        <x:v>Safe 404-style response; zero operational data.</x:v>
      </x:c>
      <x:c r="K19" s="17" t="str">
        <x:v>NOT RUN</x:v>
      </x:c>
      <x:c r="L19" s="17" t="str"/>
      <x:c r="M19" s="17" t="str"/>
      <x:c r="N19" s="17" t="str"/>
      <x:c r="O19" s="17" t="str"/>
      <x:c r="P19" s="17" t="str"/>
    </x:row>
    <x:row r="20">
      <x:c r="A20" s="17" t="str">
        <x:v>SS-019</x:v>
      </x:c>
      <x:c r="B20" s="17" t="n">
        <x:v>1</x:v>
      </x:c>
      <x:c r="C20" s="17" t="str">
        <x:v>Source Selection</x:v>
      </x:c>
      <x:c r="D20" s="17" t="str">
        <x:v>P1</x:v>
      </x:c>
      <x:c r="E20" s="17" t="str">
        <x:v>Production safe</x:v>
      </x:c>
      <x:c r="F20" s="17" t="str">
        <x:v>Free</x:v>
      </x:c>
      <x:c r="G20" s="17" t="str">
        <x:v>Production</x:v>
      </x:c>
      <x:c r="H20" s="17" t="str">
        <x:v>Source options</x:v>
      </x:c>
      <x:c r="I20" s="17" t="str">
        <x:v>Open scan source selector.</x:v>
      </x:c>
      <x:c r="J20" s="17" t="str">
        <x:v>Connected GitHub, public URL, ZIP and sample/fallback options are understandable.</x:v>
      </x:c>
      <x:c r="K20" s="17" t="str">
        <x:v>NOT RUN</x:v>
      </x:c>
      <x:c r="L20" s="17" t="str"/>
      <x:c r="M20" s="17" t="str"/>
      <x:c r="N20" s="17" t="str"/>
      <x:c r="O20" s="17" t="str"/>
      <x:c r="P20" s="17" t="str"/>
    </x:row>
    <x:row r="21">
      <x:c r="A21" s="17" t="str">
        <x:v>SS-020</x:v>
      </x:c>
      <x:c r="B21" s="17" t="n">
        <x:v>1</x:v>
      </x:c>
      <x:c r="C21" s="17" t="str">
        <x:v>GitHub App</x:v>
      </x:c>
      <x:c r="D21" s="17" t="str">
        <x:v>P0</x:v>
      </x:c>
      <x:c r="E21" s="17" t="str">
        <x:v>Production safe</x:v>
      </x:c>
      <x:c r="F21" s="17" t="str">
        <x:v>Free</x:v>
      </x:c>
      <x:c r="G21" s="17" t="str">
        <x:v>Production</x:v>
      </x:c>
      <x:c r="H21" s="17" t="str">
        <x:v>Installation / connection</x:v>
      </x:c>
      <x:c r="I21" s="17" t="str">
        <x:v>Connect GitHub App to permitted repositories.</x:v>
      </x:c>
      <x:c r="J21" s="17" t="str">
        <x:v>Connection succeeds with scoped repository access.</x:v>
      </x:c>
      <x:c r="K21" s="17" t="str">
        <x:v>NOT RUN</x:v>
      </x:c>
      <x:c r="L21" s="17" t="str"/>
      <x:c r="M21" s="17" t="str"/>
      <x:c r="N21" s="17" t="str"/>
      <x:c r="O21" s="17" t="str"/>
      <x:c r="P21" s="17" t="str"/>
    </x:row>
    <x:row r="22">
      <x:c r="A22" s="17" t="str">
        <x:v>SS-021</x:v>
      </x:c>
      <x:c r="B22" s="17" t="n">
        <x:v>1</x:v>
      </x:c>
      <x:c r="C22" s="17" t="str">
        <x:v>GitHub App</x:v>
      </x:c>
      <x:c r="D22" s="17" t="str">
        <x:v>P1</x:v>
      </x:c>
      <x:c r="E22" s="17" t="str">
        <x:v>Production safe</x:v>
      </x:c>
      <x:c r="F22" s="17" t="str">
        <x:v>Free</x:v>
      </x:c>
      <x:c r="G22" s="17" t="str">
        <x:v>Production</x:v>
      </x:c>
      <x:c r="H22" s="17" t="str">
        <x:v>Repository listing/search</x:v>
      </x:c>
      <x:c r="I22" s="17" t="str">
        <x:v>Open repository picker and search.</x:v>
      </x:c>
      <x:c r="J22" s="17" t="str">
        <x:v>Only authorized repositories are listed; search works.</x:v>
      </x:c>
      <x:c r="K22" s="17" t="str">
        <x:v>NOT RUN</x:v>
      </x:c>
      <x:c r="L22" s="17" t="str"/>
      <x:c r="M22" s="17" t="str"/>
      <x:c r="N22" s="17" t="str"/>
      <x:c r="O22" s="17" t="str"/>
      <x:c r="P22" s="17" t="str"/>
    </x:row>
    <x:row r="23">
      <x:c r="A23" s="17" t="str">
        <x:v>SS-022</x:v>
      </x:c>
      <x:c r="B23" s="17" t="n">
        <x:v>1</x:v>
      </x:c>
      <x:c r="C23" s="17" t="str">
        <x:v>GitHub App</x:v>
      </x:c>
      <x:c r="D23" s="17" t="str">
        <x:v>P1</x:v>
      </x:c>
      <x:c r="E23" s="17" t="str">
        <x:v>Production safe</x:v>
      </x:c>
      <x:c r="F23" s="17" t="str">
        <x:v>Free</x:v>
      </x:c>
      <x:c r="G23" s="17" t="str">
        <x:v>Production</x:v>
      </x:c>
      <x:c r="H23" s="17" t="str">
        <x:v>Small connected repo</x:v>
      </x:c>
      <x:c r="I23" s="17" t="str">
        <x:v>Select Csisz/portfolio_tracker and scan.</x:v>
      </x:c>
      <x:c r="J23" s="17" t="str">
        <x:v>Repository loads and scan begins successfully.</x:v>
      </x:c>
      <x:c r="K23" s="17" t="str">
        <x:v>NOT RUN</x:v>
      </x:c>
      <x:c r="L23" s="17" t="str"/>
      <x:c r="M23" s="17" t="str"/>
      <x:c r="N23" s="17" t="str"/>
      <x:c r="O23" s="17" t="str"/>
      <x:c r="P23" s="17" t="str"/>
    </x:row>
    <x:row r="24">
      <x:c r="A24" s="17" t="str">
        <x:v>SS-023</x:v>
      </x:c>
      <x:c r="B24" s="17" t="n">
        <x:v>1</x:v>
      </x:c>
      <x:c r="C24" s="17" t="str">
        <x:v>GitHub App</x:v>
      </x:c>
      <x:c r="D24" s="17" t="str">
        <x:v>P1</x:v>
      </x:c>
      <x:c r="E24" s="17" t="str">
        <x:v>Production safe</x:v>
      </x:c>
      <x:c r="F24" s="17" t="str">
        <x:v>Free/Pro</x:v>
      </x:c>
      <x:c r="G24" s="17" t="str">
        <x:v>Production</x:v>
      </x:c>
      <x:c r="H24" s="17" t="str">
        <x:v>Large connected repo</x:v>
      </x:c>
      <x:c r="I24" s="17" t="str">
        <x:v>Select Csisz/cantu and scan.</x:v>
      </x:c>
      <x:c r="J24" s="17" t="str">
        <x:v>Large repo path succeeds without archive-size/browser limits.</x:v>
      </x:c>
      <x:c r="K24" s="17" t="str">
        <x:v>NOT RUN</x:v>
      </x:c>
      <x:c r="L24" s="17" t="str"/>
      <x:c r="M24" s="17" t="str"/>
      <x:c r="N24" s="17" t="str"/>
      <x:c r="O24" s="17" t="str"/>
      <x:c r="P24" s="17" t="str"/>
    </x:row>
    <x:row r="25">
      <x:c r="A25" s="17" t="str">
        <x:v>SS-024</x:v>
      </x:c>
      <x:c r="B25" s="17" t="n">
        <x:v>1</x:v>
      </x:c>
      <x:c r="C25" s="17" t="str">
        <x:v>Public GitHub</x:v>
      </x:c>
      <x:c r="D25" s="17" t="str">
        <x:v>P1</x:v>
      </x:c>
      <x:c r="E25" s="17" t="str">
        <x:v>Production safe</x:v>
      </x:c>
      <x:c r="F25" s="17" t="str">
        <x:v>Anonymous/Free</x:v>
      </x:c>
      <x:c r="G25" s="17" t="str">
        <x:v>Production</x:v>
      </x:c>
      <x:c r="H25" s="17" t="str">
        <x:v>Public URL scan</x:v>
      </x:c>
      <x:c r="I25" s="17" t="str">
        <x:v>Scan Csisz/shipseal-v2 by public URL.</x:v>
      </x:c>
      <x:c r="J25" s="17" t="str">
        <x:v>Correct repository identity; no unnecessary login requirement.</x:v>
      </x:c>
      <x:c r="K25" s="17" t="str">
        <x:v>NOT RUN</x:v>
      </x:c>
      <x:c r="L25" s="17" t="str"/>
      <x:c r="M25" s="17" t="str"/>
      <x:c r="N25" s="17" t="str"/>
      <x:c r="O25" s="17" t="str"/>
      <x:c r="P25" s="17" t="str"/>
    </x:row>
    <x:row r="26">
      <x:c r="A26" s="17" t="str">
        <x:v>SS-025</x:v>
      </x:c>
      <x:c r="B26" s="17" t="n">
        <x:v>1</x:v>
      </x:c>
      <x:c r="C26" s="17" t="str">
        <x:v>ZIP</x:v>
      </x:c>
      <x:c r="D26" s="17" t="str">
        <x:v>P1</x:v>
      </x:c>
      <x:c r="E26" s="17" t="str">
        <x:v>Production safe</x:v>
      </x:c>
      <x:c r="F26" s="17" t="str">
        <x:v>Free</x:v>
      </x:c>
      <x:c r="G26" s="17" t="str">
        <x:v>Production</x:v>
      </x:c>
      <x:c r="H26" s="17" t="str">
        <x:v>Valid ZIP upload</x:v>
      </x:c>
      <x:c r="I26" s="17" t="str">
        <x:v>Upload a known safe local repository ZIP.</x:v>
      </x:c>
      <x:c r="J26" s="17" t="str">
        <x:v>ZIP parses and scan completes.</x:v>
      </x:c>
      <x:c r="K26" s="17" t="str">
        <x:v>NOT RUN</x:v>
      </x:c>
      <x:c r="L26" s="17" t="str"/>
      <x:c r="M26" s="17" t="str"/>
      <x:c r="N26" s="17" t="str"/>
      <x:c r="O26" s="17" t="str"/>
      <x:c r="P26" s="17" t="str"/>
    </x:row>
    <x:row r="27">
      <x:c r="A27" s="17" t="str">
        <x:v>SS-026</x:v>
      </x:c>
      <x:c r="B27" s="17" t="n">
        <x:v>1</x:v>
      </x:c>
      <x:c r="C27" s="17" t="str">
        <x:v>Sample</x:v>
      </x:c>
      <x:c r="D27" s="17" t="str">
        <x:v>P2</x:v>
      </x:c>
      <x:c r="E27" s="17" t="str">
        <x:v>Production safe</x:v>
      </x:c>
      <x:c r="F27" s="17" t="str">
        <x:v>Anonymous</x:v>
      </x:c>
      <x:c r="G27" s="17" t="str">
        <x:v>Production</x:v>
      </x:c>
      <x:c r="H27" s="17" t="str">
        <x:v>Sample project</x:v>
      </x:c>
      <x:c r="I27" s="17" t="str">
        <x:v>Run sample project flow.</x:v>
      </x:c>
      <x:c r="J27" s="17" t="str">
        <x:v>Sample works without external credentials and demonstrates product value.</x:v>
      </x:c>
      <x:c r="K27" s="17" t="str">
        <x:v>NOT RUN</x:v>
      </x:c>
      <x:c r="L27" s="17" t="str"/>
      <x:c r="M27" s="17" t="str"/>
      <x:c r="N27" s="17" t="str"/>
      <x:c r="O27" s="17" t="str"/>
      <x:c r="P27" s="17" t="str"/>
    </x:row>
    <x:row r="28">
      <x:c r="A28" s="17" t="str">
        <x:v>SS-027</x:v>
      </x:c>
      <x:c r="B28" s="17" t="n">
        <x:v>2</x:v>
      </x:c>
      <x:c r="C28" s="17" t="str">
        <x:v>Scanning</x:v>
      </x:c>
      <x:c r="D28" s="17" t="str">
        <x:v>P1</x:v>
      </x:c>
      <x:c r="E28" s="17" t="str">
        <x:v>Production safe</x:v>
      </x:c>
      <x:c r="F28" s="17" t="str">
        <x:v>Free</x:v>
      </x:c>
      <x:c r="G28" s="17" t="str">
        <x:v>Production</x:v>
      </x:c>
      <x:c r="H28" s="17" t="str">
        <x:v>Real progress</x:v>
      </x:c>
      <x:c r="I28" s="17" t="str">
        <x:v>Observe scan progress.</x:v>
      </x:c>
      <x:c r="J28" s="17" t="str">
        <x:v>Only real discovery/connection/analysis progress is shown; no fake wait.</x:v>
      </x:c>
      <x:c r="K28" s="17" t="str">
        <x:v>NOT RUN</x:v>
      </x:c>
      <x:c r="L28" s="17" t="str"/>
      <x:c r="M28" s="17" t="str"/>
      <x:c r="N28" s="17" t="str"/>
      <x:c r="O28" s="17" t="str"/>
      <x:c r="P28" s="17" t="str"/>
    </x:row>
    <x:row r="29">
      <x:c r="A29" s="17" t="str">
        <x:v>SS-028</x:v>
      </x:c>
      <x:c r="B29" s="17" t="n">
        <x:v>2</x:v>
      </x:c>
      <x:c r="C29" s="17" t="str">
        <x:v>Scanning</x:v>
      </x:c>
      <x:c r="D29" s="17" t="str">
        <x:v>P1</x:v>
      </x:c>
      <x:c r="E29" s="17" t="str">
        <x:v>Production safe</x:v>
      </x:c>
      <x:c r="F29" s="17" t="str">
        <x:v>Free</x:v>
      </x:c>
      <x:c r="G29" s="17" t="str">
        <x:v>Production</x:v>
      </x:c>
      <x:c r="H29" s="17" t="str">
        <x:v>Repository evidence counts</x:v>
      </x:c>
      <x:c r="I29" s="17" t="str">
        <x:v>Complete connected scan.</x:v>
      </x:c>
      <x:c r="J29" s="17" t="str">
        <x:v>Discovered/analyzed/ignored counts are present and plausible.</x:v>
      </x:c>
      <x:c r="K29" s="17" t="str">
        <x:v>NOT RUN</x:v>
      </x:c>
      <x:c r="L29" s="17" t="str"/>
      <x:c r="M29" s="17" t="str"/>
      <x:c r="N29" s="17" t="str"/>
      <x:c r="O29" s="17" t="str"/>
      <x:c r="P29" s="17" t="str"/>
    </x:row>
    <x:row r="30">
      <x:c r="A30" s="17" t="str">
        <x:v>SS-029</x:v>
      </x:c>
      <x:c r="B30" s="17" t="n">
        <x:v>2</x:v>
      </x:c>
      <x:c r="C30" s="17" t="str">
        <x:v>Scanning</x:v>
      </x:c>
      <x:c r="D30" s="17" t="str">
        <x:v>P1</x:v>
      </x:c>
      <x:c r="E30" s="17" t="str">
        <x:v>Production safe</x:v>
      </x:c>
      <x:c r="F30" s="17" t="str">
        <x:v>Free</x:v>
      </x:c>
      <x:c r="G30" s="17" t="str">
        <x:v>Production</x:v>
      </x:c>
      <x:c r="H30" s="17" t="str">
        <x:v>Full scan classification</x:v>
      </x:c>
      <x:c r="I30" s="17" t="str">
        <x:v>Use normal-size repository.</x:v>
      </x:c>
      <x:c r="J30" s="17" t="str">
        <x:v>Result is full/non-limited when within budget.</x:v>
      </x:c>
      <x:c r="K30" s="17" t="str">
        <x:v>NOT RUN</x:v>
      </x:c>
      <x:c r="L30" s="17" t="str"/>
      <x:c r="M30" s="17" t="str"/>
      <x:c r="N30" s="17" t="str"/>
      <x:c r="O30" s="17" t="str"/>
      <x:c r="P30" s="17" t="str"/>
    </x:row>
    <x:row r="31">
      <x:c r="A31" s="17" t="str">
        <x:v>SS-030</x:v>
      </x:c>
      <x:c r="B31" s="17" t="n">
        <x:v>2</x:v>
      </x:c>
      <x:c r="C31" s="17" t="str">
        <x:v>Scanning</x:v>
      </x:c>
      <x:c r="D31" s="17" t="str">
        <x:v>P1</x:v>
      </x:c>
      <x:c r="E31" s="17" t="str">
        <x:v>Production safe</x:v>
      </x:c>
      <x:c r="F31" s="17" t="str">
        <x:v>Free</x:v>
      </x:c>
      <x:c r="G31" s="17" t="str">
        <x:v>Production</x:v>
      </x:c>
      <x:c r="H31" s="17" t="str">
        <x:v>Bounded scan classification</x:v>
      </x:c>
      <x:c r="I31" s="17" t="str">
        <x:v>Use Cantu-class repository.</x:v>
      </x:c>
      <x:c r="J31" s="17" t="str">
        <x:v>Bounded scan is a successful state with clear coverage explanation.</x:v>
      </x:c>
      <x:c r="K31" s="17" t="str">
        <x:v>NOT RUN</x:v>
      </x:c>
      <x:c r="L31" s="17" t="str"/>
      <x:c r="M31" s="17" t="str"/>
      <x:c r="N31" s="17" t="str"/>
      <x:c r="O31" s="17" t="str"/>
      <x:c r="P31" s="17" t="str"/>
    </x:row>
    <x:row r="32">
      <x:c r="A32" s="17" t="str">
        <x:v>SS-031</x:v>
      </x:c>
      <x:c r="B32" s="17" t="n">
        <x:v>2</x:v>
      </x:c>
      <x:c r="C32" s="17" t="str">
        <x:v>Scanning</x:v>
      </x:c>
      <x:c r="D32" s="17" t="str">
        <x:v>P1</x:v>
      </x:c>
      <x:c r="E32" s="17" t="str">
        <x:v>Production safe</x:v>
      </x:c>
      <x:c r="F32" s="17" t="str">
        <x:v>Free</x:v>
      </x:c>
      <x:c r="G32" s="17" t="str">
        <x:v>Production</x:v>
      </x:c>
      <x:c r="H32" s="17" t="str">
        <x:v>Generated/binary exclusion</x:v>
      </x:c>
      <x:c r="I32" s="17" t="str">
        <x:v>Inspect coverage summary.</x:v>
      </x:c>
      <x:c r="J32" s="17" t="str">
        <x:v>Generated, binary, oversized and low-priority content are excluded safely.</x:v>
      </x:c>
      <x:c r="K32" s="17" t="str">
        <x:v>NOT RUN</x:v>
      </x:c>
      <x:c r="L32" s="17" t="str"/>
      <x:c r="M32" s="17" t="str"/>
      <x:c r="N32" s="17" t="str"/>
      <x:c r="O32" s="17" t="str"/>
      <x:c r="P32" s="17" t="str"/>
    </x:row>
    <x:row r="33">
      <x:c r="A33" s="17" t="str">
        <x:v>SS-032</x:v>
      </x:c>
      <x:c r="B33" s="17" t="n">
        <x:v>2</x:v>
      </x:c>
      <x:c r="C33" s="17" t="str">
        <x:v>Scanning</x:v>
      </x:c>
      <x:c r="D33" s="17" t="str">
        <x:v>P0</x:v>
      </x:c>
      <x:c r="E33" s="17" t="str">
        <x:v>Review + controlled</x:v>
      </x:c>
      <x:c r="F33" s="17" t="str">
        <x:v>Free</x:v>
      </x:c>
      <x:c r="G33" s="17" t="str">
        <x:v>Production/Code</x:v>
      </x:c>
      <x:c r="H33" s="17" t="str">
        <x:v>No repository execution</x:v>
      </x:c>
      <x:c r="I33" s="17" t="str">
        <x:v>Review behavior while scanning ZIP/GitHub input.</x:v>
      </x:c>
      <x:c r="J33" s="17" t="str">
        <x:v>No imported repository code is executed, built, installed or passed to shell.</x:v>
      </x:c>
      <x:c r="K33" s="17" t="str">
        <x:v>NOT RUN</x:v>
      </x:c>
      <x:c r="L33" s="17" t="str"/>
      <x:c r="M33" s="17" t="str"/>
      <x:c r="N33" s="17" t="str"/>
      <x:c r="O33" s="17" t="str"/>
      <x:c r="P33" s="17" t="str"/>
    </x:row>
    <x:row r="34">
      <x:c r="A34" s="17" t="str">
        <x:v>SS-033</x:v>
      </x:c>
      <x:c r="B34" s="17" t="n">
        <x:v>2</x:v>
      </x:c>
      <x:c r="C34" s="17" t="str">
        <x:v>Scanning</x:v>
      </x:c>
      <x:c r="D34" s="17" t="str">
        <x:v>P1</x:v>
      </x:c>
      <x:c r="E34" s="17" t="str">
        <x:v>Production safe</x:v>
      </x:c>
      <x:c r="F34" s="17" t="str">
        <x:v>Free</x:v>
      </x:c>
      <x:c r="G34" s="17" t="str">
        <x:v>Production</x:v>
      </x:c>
      <x:c r="H34" s="17" t="str">
        <x:v>Stack detection</x:v>
      </x:c>
      <x:c r="I34" s="17" t="str">
        <x:v>Check known repository stack.</x:v>
      </x:c>
      <x:c r="J34" s="17" t="str">
        <x:v>Detected stack matches repository evidence.</x:v>
      </x:c>
      <x:c r="K34" s="17" t="str">
        <x:v>NOT RUN</x:v>
      </x:c>
      <x:c r="L34" s="17" t="str"/>
      <x:c r="M34" s="17" t="str"/>
      <x:c r="N34" s="17" t="str"/>
      <x:c r="O34" s="17" t="str"/>
      <x:c r="P34" s="17" t="str"/>
    </x:row>
    <x:row r="35">
      <x:c r="A35" s="17" t="str">
        <x:v>SS-034</x:v>
      </x:c>
      <x:c r="B35" s="17" t="n">
        <x:v>2</x:v>
      </x:c>
      <x:c r="C35" s="17" t="str">
        <x:v>Scanning</x:v>
      </x:c>
      <x:c r="D35" s="17" t="str">
        <x:v>P1</x:v>
      </x:c>
      <x:c r="E35" s="17" t="str">
        <x:v>Production safe</x:v>
      </x:c>
      <x:c r="F35" s="17" t="str">
        <x:v>Free</x:v>
      </x:c>
      <x:c r="G35" s="17" t="str">
        <x:v>Production</x:v>
      </x:c>
      <x:c r="H35" s="17" t="str">
        <x:v>Evidence boundary</x:v>
      </x:c>
      <x:c r="I35" s="17" t="str">
        <x:v>Inspect a recommendation/claim.</x:v>
      </x:c>
      <x:c r="J35" s="17" t="str">
        <x:v>Claim is tied to observed evidence or clearly marked unknown/not observed.</x:v>
      </x:c>
      <x:c r="K35" s="17" t="str">
        <x:v>NOT RUN</x:v>
      </x:c>
      <x:c r="L35" s="17" t="str"/>
      <x:c r="M35" s="17" t="str"/>
      <x:c r="N35" s="17" t="str"/>
      <x:c r="O35" s="17" t="str"/>
      <x:c r="P35" s="17" t="str"/>
    </x:row>
    <x:row r="36">
      <x:c r="A36" s="17" t="str">
        <x:v>SS-035</x:v>
      </x:c>
      <x:c r="B36" s="17" t="n">
        <x:v>2</x:v>
      </x:c>
      <x:c r="C36" s="17" t="str">
        <x:v>Scanning</x:v>
      </x:c>
      <x:c r="D36" s="17" t="str">
        <x:v>P1</x:v>
      </x:c>
      <x:c r="E36" s="17" t="str">
        <x:v>Controlled fixture</x:v>
      </x:c>
      <x:c r="F36" s="17" t="str">
        <x:v>Free</x:v>
      </x:c>
      <x:c r="G36" s="17" t="str">
        <x:v>Fixture</x:v>
      </x:c>
      <x:c r="H36" s="17" t="str">
        <x:v>GitHub rate-limit recovery</x:v>
      </x:c>
      <x:c r="I36" s="17" t="str">
        <x:v>Simulate/trigger safe rate limit.</x:v>
      </x:c>
      <x:c r="J36" s="17" t="str">
        <x:v>Friendly explanation + retry/fallback; no raw API error.</x:v>
      </x:c>
      <x:c r="K36" s="17" t="str">
        <x:v>NOT RUN</x:v>
      </x:c>
      <x:c r="L36" s="17" t="str"/>
      <x:c r="M36" s="17" t="str"/>
      <x:c r="N36" s="17" t="str"/>
      <x:c r="O36" s="17" t="str"/>
      <x:c r="P36" s="17" t="str"/>
    </x:row>
    <x:row r="37">
      <x:c r="A37" s="17" t="str">
        <x:v>SS-036</x:v>
      </x:c>
      <x:c r="B37" s="17" t="n">
        <x:v>2</x:v>
      </x:c>
      <x:c r="C37" s="17" t="str">
        <x:v>Scanning</x:v>
      </x:c>
      <x:c r="D37" s="17" t="str">
        <x:v>P1</x:v>
      </x:c>
      <x:c r="E37" s="17" t="str">
        <x:v>Controlled fixture</x:v>
      </x:c>
      <x:c r="F37" s="17" t="str">
        <x:v>Free</x:v>
      </x:c>
      <x:c r="G37" s="17" t="str">
        <x:v>Fixture</x:v>
      </x:c>
      <x:c r="H37" s="17" t="str">
        <x:v>Repository evidence failure</x:v>
      </x:c>
      <x:c r="I37" s="17" t="str">
        <x:v>Use controlled failure fixture.</x:v>
      </x:c>
      <x:c r="J37" s="17" t="str">
        <x:v>Failure is recoverable and provides a next action/support reference where applicable.</x:v>
      </x:c>
      <x:c r="K37" s="17" t="str">
        <x:v>NOT RUN</x:v>
      </x:c>
      <x:c r="L37" s="17" t="str"/>
      <x:c r="M37" s="17" t="str"/>
      <x:c r="N37" s="17" t="str"/>
      <x:c r="O37" s="17" t="str"/>
      <x:c r="P37" s="17" t="str"/>
    </x:row>
    <x:row r="38">
      <x:c r="A38" s="17" t="str">
        <x:v>SS-037</x:v>
      </x:c>
      <x:c r="B38" s="17" t="n">
        <x:v>2</x:v>
      </x:c>
      <x:c r="C38" s="17" t="str">
        <x:v>Scanning</x:v>
      </x:c>
      <x:c r="D38" s="17" t="str">
        <x:v>P1</x:v>
      </x:c>
      <x:c r="E38" s="17" t="str">
        <x:v>Controlled fixture</x:v>
      </x:c>
      <x:c r="F38" s="17" t="str">
        <x:v>Free</x:v>
      </x:c>
      <x:c r="G38" s="17" t="str">
        <x:v>Fixture</x:v>
      </x:c>
      <x:c r="H38" s="17" t="str">
        <x:v>Corrupt ZIP</x:v>
      </x:c>
      <x:c r="I38" s="17" t="str">
        <x:v>Upload invalid/corrupt ZIP fixture.</x:v>
      </x:c>
      <x:c r="J38" s="17" t="str">
        <x:v>Friendly ZIP parse error; user can retry with another source.</x:v>
      </x:c>
      <x:c r="K38" s="17" t="str">
        <x:v>NOT RUN</x:v>
      </x:c>
      <x:c r="L38" s="17" t="str"/>
      <x:c r="M38" s="17" t="str"/>
      <x:c r="N38" s="17" t="str"/>
      <x:c r="O38" s="17" t="str"/>
      <x:c r="P38" s="17" t="str"/>
    </x:row>
    <x:row r="39">
      <x:c r="A39" s="17" t="str">
        <x:v>SS-038</x:v>
      </x:c>
      <x:c r="B39" s="17" t="n">
        <x:v>2</x:v>
      </x:c>
      <x:c r="C39" s="17" t="str">
        <x:v>Scanning</x:v>
      </x:c>
      <x:c r="D39" s="17" t="str">
        <x:v>P1</x:v>
      </x:c>
      <x:c r="E39" s="17" t="str">
        <x:v>Controlled fixture</x:v>
      </x:c>
      <x:c r="F39" s="17" t="str">
        <x:v>Free</x:v>
      </x:c>
      <x:c r="G39" s="17" t="str">
        <x:v>Fixture</x:v>
      </x:c>
      <x:c r="H39" s="17" t="str">
        <x:v>Unsafe archive path</x:v>
      </x:c>
      <x:c r="I39" s="17" t="str">
        <x:v>Use archive safety fixture.</x:v>
      </x:c>
      <x:c r="J39" s="17" t="str">
        <x:v>Unsafe archive rejected without extraction escape or code execution.</x:v>
      </x:c>
      <x:c r="K39" s="17" t="str">
        <x:v>NOT RUN</x:v>
      </x:c>
      <x:c r="L39" s="17" t="str"/>
      <x:c r="M39" s="17" t="str"/>
      <x:c r="N39" s="17" t="str"/>
      <x:c r="O39" s="17" t="str"/>
      <x:c r="P39" s="17" t="str"/>
    </x:row>
    <x:row r="40">
      <x:c r="A40" s="17" t="str">
        <x:v>SS-039</x:v>
      </x:c>
      <x:c r="B40" s="17" t="n">
        <x:v>2</x:v>
      </x:c>
      <x:c r="C40" s="17" t="str">
        <x:v>Persistence</x:v>
      </x:c>
      <x:c r="D40" s="17" t="str">
        <x:v>P0</x:v>
      </x:c>
      <x:c r="E40" s="17" t="str">
        <x:v>Production safe</x:v>
      </x:c>
      <x:c r="F40" s="17" t="str">
        <x:v>Free/Pro</x:v>
      </x:c>
      <x:c r="G40" s="17" t="str">
        <x:v>Production</x:v>
      </x:c>
      <x:c r="H40" s="17" t="str">
        <x:v>Autosave authenticated scan</x:v>
      </x:c>
      <x:c r="I40" s="17" t="str">
        <x:v>Complete authenticated scan.</x:v>
      </x:c>
      <x:c r="J40" s="17" t="str">
        <x:v>Saved privately occurs automatically; no manual Save required.</x:v>
      </x:c>
      <x:c r="K40" s="17" t="str">
        <x:v>NOT RUN</x:v>
      </x:c>
      <x:c r="L40" s="17" t="str"/>
      <x:c r="M40" s="17" t="str"/>
      <x:c r="N40" s="17" t="str"/>
      <x:c r="O40" s="17" t="str"/>
      <x:c r="P40" s="17" t="str"/>
    </x:row>
    <x:row r="41">
      <x:c r="A41" s="17" t="str">
        <x:v>SS-040</x:v>
      </x:c>
      <x:c r="B41" s="17" t="n">
        <x:v>2</x:v>
      </x:c>
      <x:c r="C41" s="17" t="str">
        <x:v>Persistence</x:v>
      </x:c>
      <x:c r="D41" s="17" t="str">
        <x:v>P1</x:v>
      </x:c>
      <x:c r="E41" s="17" t="str">
        <x:v>Production safe</x:v>
      </x:c>
      <x:c r="F41" s="17" t="str">
        <x:v>Free</x:v>
      </x:c>
      <x:c r="G41" s="17" t="str">
        <x:v>Production</x:v>
      </x:c>
      <x:c r="H41" s="17" t="str">
        <x:v>Same repo rescan</x:v>
      </x:c>
      <x:c r="I41" s="17" t="str">
        <x:v>Scan same connected repository again.</x:v>
      </x:c>
      <x:c r="J41" s="17" t="str">
        <x:v>One project, multiple immutable scan history records.</x:v>
      </x:c>
      <x:c r="K41" s="17" t="str">
        <x:v>NOT RUN</x:v>
      </x:c>
      <x:c r="L41" s="17" t="str"/>
      <x:c r="M41" s="17" t="str"/>
      <x:c r="N41" s="17" t="str"/>
      <x:c r="O41" s="17" t="str"/>
      <x:c r="P41" s="17" t="str"/>
    </x:row>
    <x:row r="42">
      <x:c r="A42" s="17" t="str">
        <x:v>SS-041</x:v>
      </x:c>
      <x:c r="B42" s="17" t="n">
        <x:v>2</x:v>
      </x:c>
      <x:c r="C42" s="17" t="str">
        <x:v>Persistence</x:v>
      </x:c>
      <x:c r="D42" s="17" t="str">
        <x:v>P1</x:v>
      </x:c>
      <x:c r="E42" s="17" t="str">
        <x:v>Production safe</x:v>
      </x:c>
      <x:c r="F42" s="17" t="str">
        <x:v>Free</x:v>
      </x:c>
      <x:c r="G42" s="17" t="str">
        <x:v>Production</x:v>
      </x:c>
      <x:c r="H42" s="17" t="str">
        <x:v>My Projects listing</x:v>
      </x:c>
      <x:c r="I42" s="17" t="str">
        <x:v>Open My Projects.</x:v>
      </x:c>
      <x:c r="J42" s="17" t="str">
        <x:v>Recent projects/scans appear with correct repository identity.</x:v>
      </x:c>
      <x:c r="K42" s="17" t="str">
        <x:v>NOT RUN</x:v>
      </x:c>
      <x:c r="L42" s="17" t="str"/>
      <x:c r="M42" s="17" t="str"/>
      <x:c r="N42" s="17" t="str"/>
      <x:c r="O42" s="17" t="str"/>
      <x:c r="P42" s="17" t="str"/>
    </x:row>
    <x:row r="43">
      <x:c r="A43" s="17" t="str">
        <x:v>SS-042</x:v>
      </x:c>
      <x:c r="B43" s="17" t="n">
        <x:v>2</x:v>
      </x:c>
      <x:c r="C43" s="17" t="str">
        <x:v>Persistence</x:v>
      </x:c>
      <x:c r="D43" s="17" t="str">
        <x:v>P0</x:v>
      </x:c>
      <x:c r="E43" s="17" t="str">
        <x:v>Production safe</x:v>
      </x:c>
      <x:c r="F43" s="17" t="str">
        <x:v>Free/Pro</x:v>
      </x:c>
      <x:c r="G43" s="17" t="str">
        <x:v>Production</x:v>
      </x:c>
      <x:c r="H43" s="17" t="str">
        <x:v>Saved scan reopen</x:v>
      </x:c>
      <x:c r="I43" s="17" t="str">
        <x:v>Open project from My Projects.</x:v>
      </x:c>
      <x:c r="J43" s="17" t="str">
        <x:v>Opens without rescan/provider execution/GitHub mutation.</x:v>
      </x:c>
      <x:c r="K43" s="17" t="str">
        <x:v>NOT RUN</x:v>
      </x:c>
      <x:c r="L43" s="17" t="str"/>
      <x:c r="M43" s="17" t="str"/>
      <x:c r="N43" s="17" t="str"/>
      <x:c r="O43" s="17" t="str"/>
      <x:c r="P43" s="17" t="str"/>
    </x:row>
    <x:row r="44">
      <x:c r="A44" s="17" t="str">
        <x:v>SS-043</x:v>
      </x:c>
      <x:c r="B44" s="17" t="n">
        <x:v>2</x:v>
      </x:c>
      <x:c r="C44" s="17" t="str">
        <x:v>Persistence</x:v>
      </x:c>
      <x:c r="D44" s="17" t="str">
        <x:v>P0</x:v>
      </x:c>
      <x:c r="E44" s="17" t="str">
        <x:v>Production safe</x:v>
      </x:c>
      <x:c r="F44" s="17" t="str">
        <x:v>Pro</x:v>
      </x:c>
      <x:c r="G44" s="17" t="str">
        <x:v>Production</x:v>
      </x:c>
      <x:c r="H44" s="17" t="str">
        <x:v>Logout/login restoration</x:v>
      </x:c>
      <x:c r="I44" s="17" t="str">
        <x:v>Create saved result, logout, login, reopen.</x:v>
      </x:c>
      <x:c r="J44" s="17" t="str">
        <x:v>Persisted project/scan/Future state restores.</x:v>
      </x:c>
      <x:c r="K44" s="17" t="str">
        <x:v>NOT RUN</x:v>
      </x:c>
      <x:c r="L44" s="17" t="str"/>
      <x:c r="M44" s="17" t="str"/>
      <x:c r="N44" s="17" t="str"/>
      <x:c r="O44" s="17" t="str"/>
      <x:c r="P44" s="17" t="str"/>
    </x:row>
    <x:row r="45">
      <x:c r="A45" s="17" t="str">
        <x:v>SS-044</x:v>
      </x:c>
      <x:c r="B45" s="17" t="n">
        <x:v>2</x:v>
      </x:c>
      <x:c r="C45" s="17" t="str">
        <x:v>Persistence</x:v>
      </x:c>
      <x:c r="D45" s="17" t="str">
        <x:v>P1</x:v>
      </x:c>
      <x:c r="E45" s="17" t="str">
        <x:v>Controlled fixture</x:v>
      </x:c>
      <x:c r="F45" s="17" t="str">
        <x:v>Free</x:v>
      </x:c>
      <x:c r="G45" s="17" t="str">
        <x:v>Fixture</x:v>
      </x:c>
      <x:c r="H45" s="17" t="str">
        <x:v>Autosave failure</x:v>
      </x:c>
      <x:c r="I45" s="17" t="str">
        <x:v>Simulate persistence failure.</x:v>
      </x:c>
      <x:c r="J45" s="17" t="str">
        <x:v>Scan remains usable; Retry save is offered; no rescan required.</x:v>
      </x:c>
      <x:c r="K45" s="17" t="str">
        <x:v>NOT RUN</x:v>
      </x:c>
      <x:c r="L45" s="17" t="str"/>
      <x:c r="M45" s="17" t="str"/>
      <x:c r="N45" s="17" t="str"/>
      <x:c r="O45" s="17" t="str"/>
      <x:c r="P45" s="17" t="str"/>
    </x:row>
    <x:row r="46">
      <x:c r="A46" s="17" t="str">
        <x:v>SS-045</x:v>
      </x:c>
      <x:c r="B46" s="17" t="n">
        <x:v>3</x:v>
      </x:c>
      <x:c r="C46" s="17" t="str">
        <x:v>Universe</x:v>
      </x:c>
      <x:c r="D46" s="17" t="str">
        <x:v>P1</x:v>
      </x:c>
      <x:c r="E46" s="17" t="str">
        <x:v>Production safe</x:v>
      </x:c>
      <x:c r="F46" s="17" t="str">
        <x:v>Free</x:v>
      </x:c>
      <x:c r="G46" s="17" t="str">
        <x:v>Production</x:v>
      </x:c>
      <x:c r="H46" s="17" t="str">
        <x:v>Universe entry</x:v>
      </x:c>
      <x:c r="I46" s="17" t="str">
        <x:v>Open Project Universe after scan.</x:v>
      </x:c>
      <x:c r="J46" s="17" t="str">
        <x:v>Universe is dominant immersive surface and loads without heavy hidden panels.</x:v>
      </x:c>
      <x:c r="K46" s="17" t="str">
        <x:v>NOT RUN</x:v>
      </x:c>
      <x:c r="L46" s="17" t="str"/>
      <x:c r="M46" s="17" t="str"/>
      <x:c r="N46" s="17" t="str"/>
      <x:c r="O46" s="17" t="str"/>
      <x:c r="P46" s="17" t="str"/>
    </x:row>
    <x:row r="47">
      <x:c r="A47" s="17" t="str">
        <x:v>SS-046</x:v>
      </x:c>
      <x:c r="B47" s="17" t="n">
        <x:v>3</x:v>
      </x:c>
      <x:c r="C47" s="17" t="str">
        <x:v>Universe</x:v>
      </x:c>
      <x:c r="D47" s="17" t="str">
        <x:v>P2</x:v>
      </x:c>
      <x:c r="E47" s="17" t="str">
        <x:v>Production safe</x:v>
      </x:c>
      <x:c r="F47" s="17" t="str">
        <x:v>Free</x:v>
      </x:c>
      <x:c r="G47" s="17" t="str">
        <x:v>Production</x:v>
      </x:c>
      <x:c r="H47" s="17" t="str">
        <x:v>Intelligence Reveal</x:v>
      </x:c>
      <x:c r="I47" s="17" t="str">
        <x:v>Observe first entry.</x:v>
      </x:c>
      <x:c r="J47" s="17" t="str">
        <x:v>Repository/cluster/relationships reveal quickly; no artificial delay.</x:v>
      </x:c>
      <x:c r="K47" s="17" t="str">
        <x:v>NOT RUN</x:v>
      </x:c>
      <x:c r="L47" s="17" t="str"/>
      <x:c r="M47" s="17" t="str"/>
      <x:c r="N47" s="17" t="str"/>
      <x:c r="O47" s="17" t="str"/>
      <x:c r="P47" s="17" t="str"/>
    </x:row>
    <x:row r="48">
      <x:c r="A48" s="17" t="str">
        <x:v>SS-047</x:v>
      </x:c>
      <x:c r="B48" s="17" t="n">
        <x:v>3</x:v>
      </x:c>
      <x:c r="C48" s="17" t="str">
        <x:v>Universe</x:v>
      </x:c>
      <x:c r="D48" s="17" t="str">
        <x:v>P1</x:v>
      </x:c>
      <x:c r="E48" s="17" t="str">
        <x:v>Production safe</x:v>
      </x:c>
      <x:c r="F48" s="17" t="str">
        <x:v>Free</x:v>
      </x:c>
      <x:c r="G48" s="17" t="str">
        <x:v>Production</x:v>
      </x:c>
      <x:c r="H48" s="17" t="str">
        <x:v>Semantic icons</x:v>
      </x:c>
      <x:c r="I48" s="17" t="str">
        <x:v>Inspect different nodes/clusters.</x:v>
      </x:c>
      <x:c r="J48" s="17" t="str">
        <x:v>Icons/visual grammar are meaningful and consistent.</x:v>
      </x:c>
      <x:c r="K48" s="17" t="str">
        <x:v>NOT RUN</x:v>
      </x:c>
      <x:c r="L48" s="17" t="str"/>
      <x:c r="M48" s="17" t="str"/>
      <x:c r="N48" s="17" t="str"/>
      <x:c r="O48" s="17" t="str"/>
      <x:c r="P48" s="17" t="str"/>
    </x:row>
    <x:row r="49">
      <x:c r="A49" s="17" t="str">
        <x:v>SS-048</x:v>
      </x:c>
      <x:c r="B49" s="17" t="n">
        <x:v>3</x:v>
      </x:c>
      <x:c r="C49" s="17" t="str">
        <x:v>Universe</x:v>
      </x:c>
      <x:c r="D49" s="17" t="str">
        <x:v>P1</x:v>
      </x:c>
      <x:c r="E49" s="17" t="str">
        <x:v>Production safe</x:v>
      </x:c>
      <x:c r="F49" s="17" t="str">
        <x:v>Free</x:v>
      </x:c>
      <x:c r="G49" s="17" t="str">
        <x:v>Production</x:v>
      </x:c>
      <x:c r="H49" s="17" t="str">
        <x:v>Pan/zoom/navigation</x:v>
      </x:c>
      <x:c r="I49" s="17" t="str">
        <x:v>Pan, zoom, fit, search where available.</x:v>
      </x:c>
      <x:c r="J49" s="17" t="str">
        <x:v>Navigation remains responsive and anchored.</x:v>
      </x:c>
      <x:c r="K49" s="17" t="str">
        <x:v>NOT RUN</x:v>
      </x:c>
      <x:c r="L49" s="17" t="str"/>
      <x:c r="M49" s="17" t="str"/>
      <x:c r="N49" s="17" t="str"/>
      <x:c r="O49" s="17" t="str"/>
      <x:c r="P49" s="17" t="str"/>
    </x:row>
    <x:row r="50">
      <x:c r="A50" s="17" t="str">
        <x:v>SS-049</x:v>
      </x:c>
      <x:c r="B50" s="17" t="n">
        <x:v>3</x:v>
      </x:c>
      <x:c r="C50" s="17" t="str">
        <x:v>Universe</x:v>
      </x:c>
      <x:c r="D50" s="17" t="str">
        <x:v>P1</x:v>
      </x:c>
      <x:c r="E50" s="17" t="str">
        <x:v>Production safe</x:v>
      </x:c>
      <x:c r="F50" s="17" t="str">
        <x:v>Free</x:v>
      </x:c>
      <x:c r="G50" s="17" t="str">
        <x:v>Production</x:v>
      </x:c>
      <x:c r="H50" s="17" t="str">
        <x:v>Hover tracing</x:v>
      </x:c>
      <x:c r="I50" s="17" t="str">
        <x:v>Hover meaningful node.</x:v>
      </x:c>
      <x:c r="J50" s="17" t="str">
        <x:v>Local relationships strengthen; unrelated graph recedes.</x:v>
      </x:c>
      <x:c r="K50" s="17" t="str">
        <x:v>NOT RUN</x:v>
      </x:c>
      <x:c r="L50" s="17" t="str"/>
      <x:c r="M50" s="17" t="str"/>
      <x:c r="N50" s="17" t="str"/>
      <x:c r="O50" s="17" t="str"/>
      <x:c r="P50" s="17" t="str"/>
    </x:row>
    <x:row r="51">
      <x:c r="A51" s="17" t="str">
        <x:v>SS-050</x:v>
      </x:c>
      <x:c r="B51" s="17" t="n">
        <x:v>3</x:v>
      </x:c>
      <x:c r="C51" s="17" t="str">
        <x:v>Universe</x:v>
      </x:c>
      <x:c r="D51" s="17" t="str">
        <x:v>P1</x:v>
      </x:c>
      <x:c r="E51" s="17" t="str">
        <x:v>Production safe</x:v>
      </x:c>
      <x:c r="F51" s="17" t="str">
        <x:v>Free</x:v>
      </x:c>
      <x:c r="G51" s="17" t="str">
        <x:v>Production</x:v>
      </x:c>
      <x:c r="H51" s="17" t="str">
        <x:v>Pinned selection</x:v>
      </x:c>
      <x:c r="I51" s="17" t="str">
        <x:v>Click node.</x:v>
      </x:c>
      <x:c r="J51" s="17" t="str">
        <x:v>Selection persists; inspector updates; layout remains stable.</x:v>
      </x:c>
      <x:c r="K51" s="17" t="str">
        <x:v>NOT RUN</x:v>
      </x:c>
      <x:c r="L51" s="17" t="str"/>
      <x:c r="M51" s="17" t="str"/>
      <x:c r="N51" s="17" t="str"/>
      <x:c r="O51" s="17" t="str"/>
      <x:c r="P51" s="17" t="str"/>
    </x:row>
    <x:row r="52">
      <x:c r="A52" s="17" t="str">
        <x:v>SS-051</x:v>
      </x:c>
      <x:c r="B52" s="17" t="n">
        <x:v>3</x:v>
      </x:c>
      <x:c r="C52" s="17" t="str">
        <x:v>Universe</x:v>
      </x:c>
      <x:c r="D52" s="17" t="str">
        <x:v>P1</x:v>
      </x:c>
      <x:c r="E52" s="17" t="str">
        <x:v>Production safe</x:v>
      </x:c>
      <x:c r="F52" s="17" t="str">
        <x:v>Free</x:v>
      </x:c>
      <x:c r="G52" s="17" t="str">
        <x:v>Production</x:v>
      </x:c>
      <x:c r="H52" s="17" t="str">
        <x:v>Actionable finding</x:v>
      </x:c>
      <x:c r="I52" s="17" t="str">
        <x:v>Select actionable friction/recommendation.</x:v>
      </x:c>
      <x:c r="J52" s="17" t="str">
        <x:v>One dominant Fix this CTA is visible; Evidence/details are secondary.</x:v>
      </x:c>
      <x:c r="K52" s="17" t="str">
        <x:v>NOT RUN</x:v>
      </x:c>
      <x:c r="L52" s="17" t="str"/>
      <x:c r="M52" s="17" t="str"/>
      <x:c r="N52" s="17" t="str"/>
      <x:c r="O52" s="17" t="str"/>
      <x:c r="P52" s="17" t="str"/>
    </x:row>
    <x:row r="53">
      <x:c r="A53" s="17" t="str">
        <x:v>SS-052</x:v>
      </x:c>
      <x:c r="B53" s="17" t="n">
        <x:v>3</x:v>
      </x:c>
      <x:c r="C53" s="17" t="str">
        <x:v>Universe</x:v>
      </x:c>
      <x:c r="D53" s="17" t="str">
        <x:v>P1</x:v>
      </x:c>
      <x:c r="E53" s="17" t="str">
        <x:v>Production safe</x:v>
      </x:c>
      <x:c r="F53" s="17" t="str">
        <x:v>Free</x:v>
      </x:c>
      <x:c r="G53" s="17" t="str">
        <x:v>Production</x:v>
      </x:c>
      <x:c r="H53" s="17" t="str">
        <x:v>Structural node</x:v>
      </x:c>
      <x:c r="I53" s="17" t="str">
        <x:v>Select ordinary structural node.</x:v>
      </x:c>
      <x:c r="J53" s="17" t="str">
        <x:v>No fake Fix this action; inspection/relationships remain available.</x:v>
      </x:c>
      <x:c r="K53" s="17" t="str">
        <x:v>NOT RUN</x:v>
      </x:c>
      <x:c r="L53" s="17" t="str"/>
      <x:c r="M53" s="17" t="str"/>
      <x:c r="N53" s="17" t="str"/>
      <x:c r="O53" s="17" t="str"/>
      <x:c r="P53" s="17" t="str"/>
    </x:row>
    <x:row r="54">
      <x:c r="A54" s="17" t="str">
        <x:v>SS-053</x:v>
      </x:c>
      <x:c r="B54" s="17" t="n">
        <x:v>3</x:v>
      </x:c>
      <x:c r="C54" s="17" t="str">
        <x:v>Fast Path</x:v>
      </x:c>
      <x:c r="D54" s="17" t="str">
        <x:v>P1</x:v>
      </x:c>
      <x:c r="E54" s="17" t="str">
        <x:v>Production safe</x:v>
      </x:c>
      <x:c r="F54" s="17" t="str">
        <x:v>Free</x:v>
      </x:c>
      <x:c r="G54" s="17" t="str">
        <x:v>Production</x:v>
      </x:c>
      <x:c r="H54" s="17" t="str">
        <x:v>Universe Fast Path click budget</x:v>
      </x:c>
      <x:c r="I54" s="17" t="str">
        <x:v>Post-scan → Universe → actionable node → Fix this → Copy/agent artifact.</x:v>
      </x:c>
      <x:c r="J54" s="17" t="str">
        <x:v>Useful agent-ready output within ≤4 meaningful clicks after selector.</x:v>
      </x:c>
      <x:c r="K54" s="17" t="str">
        <x:v>NOT RUN</x:v>
      </x:c>
      <x:c r="L54" s="17" t="str"/>
      <x:c r="M54" s="17" t="str"/>
      <x:c r="N54" s="17" t="str"/>
      <x:c r="O54" s="17" t="str"/>
      <x:c r="P54" s="17" t="str"/>
    </x:row>
    <x:row r="55">
      <x:c r="A55" s="17" t="str">
        <x:v>SS-054</x:v>
      </x:c>
      <x:c r="B55" s="17" t="n">
        <x:v>3</x:v>
      </x:c>
      <x:c r="C55" s="17" t="str">
        <x:v>Futures</x:v>
      </x:c>
      <x:c r="D55" s="17" t="str">
        <x:v>P0</x:v>
      </x:c>
      <x:c r="E55" s="17" t="str">
        <x:v>Production safe</x:v>
      </x:c>
      <x:c r="F55" s="17" t="str">
        <x:v>Free</x:v>
      </x:c>
      <x:c r="G55" s="17" t="str">
        <x:v>Production</x:v>
      </x:c>
      <x:c r="H55" s="17" t="str">
        <x:v>Free Futures gate</x:v>
      </x:c>
      <x:c r="I55" s="17" t="str">
        <x:v>Open Futures as Free.</x:v>
      </x:c>
      <x:c r="J55" s="17" t="str">
        <x:v>Clear Pro action; no provider call/reservation before upgrade/explicit execution.</x:v>
      </x:c>
      <x:c r="K55" s="17" t="str">
        <x:v>NOT RUN</x:v>
      </x:c>
      <x:c r="L55" s="17" t="str"/>
      <x:c r="M55" s="17" t="str"/>
      <x:c r="N55" s="17" t="str"/>
      <x:c r="O55" s="17" t="str"/>
      <x:c r="P55" s="17" t="str"/>
    </x:row>
    <x:row r="56">
      <x:c r="A56" s="17" t="str">
        <x:v>SS-055</x:v>
      </x:c>
      <x:c r="B56" s="17" t="n">
        <x:v>3</x:v>
      </x:c>
      <x:c r="C56" s="17" t="str">
        <x:v>Futures</x:v>
      </x:c>
      <x:c r="D56" s="17" t="str">
        <x:v>P0</x:v>
      </x:c>
      <x:c r="E56" s="17" t="str">
        <x:v>Production safe</x:v>
      </x:c>
      <x:c r="F56" s="17" t="str">
        <x:v>Pro</x:v>
      </x:c>
      <x:c r="G56" s="17" t="str">
        <x:v>Production</x:v>
      </x:c>
      <x:c r="H56" s="17" t="str">
        <x:v>No auto paid execution</x:v>
      </x:c>
      <x:c r="I56" s="17" t="str">
        <x:v>Finish scan and wait without clicking Generate.</x:v>
      </x:c>
      <x:c r="J56" s="17" t="str">
        <x:v>No Product Strategist request, reservation or unit use.</x:v>
      </x:c>
      <x:c r="K56" s="17" t="str">
        <x:v>NOT RUN</x:v>
      </x:c>
      <x:c r="L56" s="17" t="str"/>
      <x:c r="M56" s="17" t="str"/>
      <x:c r="N56" s="17" t="str"/>
      <x:c r="O56" s="17" t="str"/>
      <x:c r="P56" s="17" t="str"/>
    </x:row>
    <x:row r="57">
      <x:c r="A57" s="17" t="str">
        <x:v>SS-056</x:v>
      </x:c>
      <x:c r="B57" s="17" t="n">
        <x:v>3</x:v>
      </x:c>
      <x:c r="C57" s="17" t="str">
        <x:v>Futures</x:v>
      </x:c>
      <x:c r="D57" s="17" t="str">
        <x:v>P0</x:v>
      </x:c>
      <x:c r="E57" s="17" t="str">
        <x:v>Production safe</x:v>
      </x:c>
      <x:c r="F57" s="17" t="str">
        <x:v>Pro</x:v>
      </x:c>
      <x:c r="G57" s="17" t="str">
        <x:v>Production</x:v>
      </x:c>
      <x:c r="H57" s="17" t="str">
        <x:v>Start Deep Analysis</x:v>
      </x:c>
      <x:c r="I57" s="17" t="str">
        <x:v>Click large Repository Futures card once.</x:v>
      </x:c>
      <x:c r="J57" s="17" t="str">
        <x:v>Exactly one logical analysis/reservation begins.</x:v>
      </x:c>
      <x:c r="K57" s="17" t="str">
        <x:v>NOT RUN</x:v>
      </x:c>
      <x:c r="L57" s="17" t="str"/>
      <x:c r="M57" s="17" t="str"/>
      <x:c r="N57" s="17" t="str"/>
      <x:c r="O57" s="17" t="str"/>
      <x:c r="P57" s="17" t="str"/>
    </x:row>
    <x:row r="58">
      <x:c r="A58" s="17" t="str">
        <x:v>SS-057</x:v>
      </x:c>
      <x:c r="B58" s="17" t="n">
        <x:v>3</x:v>
      </x:c>
      <x:c r="C58" s="17" t="str">
        <x:v>Futures</x:v>
      </x:c>
      <x:c r="D58" s="17" t="str">
        <x:v>P0</x:v>
      </x:c>
      <x:c r="E58" s="17" t="str">
        <x:v>Production safe</x:v>
      </x:c>
      <x:c r="F58" s="17" t="str">
        <x:v>Pro</x:v>
      </x:c>
      <x:c r="G58" s="17" t="str">
        <x:v>Production</x:v>
      </x:c>
      <x:c r="H58" s="17" t="str">
        <x:v>Reservation accounting</x:v>
      </x:c>
      <x:c r="I58" s="17" t="str">
        <x:v>Observe account during analysis.</x:v>
      </x:c>
      <x:c r="J58" s="17" t="str">
        <x:v>One unit held/in progress; used not incremented before durable completion.</x:v>
      </x:c>
      <x:c r="K58" s="17" t="str">
        <x:v>NOT RUN</x:v>
      </x:c>
      <x:c r="L58" s="17" t="str"/>
      <x:c r="M58" s="17" t="str"/>
      <x:c r="N58" s="17" t="str"/>
      <x:c r="O58" s="17" t="str"/>
      <x:c r="P58" s="17" t="str"/>
    </x:row>
    <x:row r="59">
      <x:c r="A59" s="17" t="str">
        <x:v>SS-058</x:v>
      </x:c>
      <x:c r="B59" s="17" t="n">
        <x:v>3</x:v>
      </x:c>
      <x:c r="C59" s="17" t="str">
        <x:v>Futures</x:v>
      </x:c>
      <x:c r="D59" s="17" t="str">
        <x:v>P1</x:v>
      </x:c>
      <x:c r="E59" s="17" t="str">
        <x:v>Production safe</x:v>
      </x:c>
      <x:c r="F59" s="17" t="str">
        <x:v>Pro</x:v>
      </x:c>
      <x:c r="G59" s="17" t="str">
        <x:v>Production</x:v>
      </x:c>
      <x:c r="H59" s="17" t="str">
        <x:v>Staged pipeline</x:v>
      </x:c>
      <x:c r="I59" s="17" t="str">
        <x:v>Observe root → expansions → finalization.</x:v>
      </x:c>
      <x:c r="J59" s="17" t="str">
        <x:v>Stages proceed once each; no duplicate root or fingerprint mismatch.</x:v>
      </x:c>
      <x:c r="K59" s="17" t="str">
        <x:v>NOT RUN</x:v>
      </x:c>
      <x:c r="L59" s="17" t="str"/>
      <x:c r="M59" s="17" t="str"/>
      <x:c r="N59" s="17" t="str"/>
      <x:c r="O59" s="17" t="str"/>
      <x:c r="P59" s="17" t="str"/>
    </x:row>
    <x:row r="60">
      <x:c r="A60" s="17" t="str">
        <x:v>SS-059</x:v>
      </x:c>
      <x:c r="B60" s="17" t="n">
        <x:v>3</x:v>
      </x:c>
      <x:c r="C60" s="17" t="str">
        <x:v>Futures</x:v>
      </x:c>
      <x:c r="D60" s="17" t="str">
        <x:v>P0</x:v>
      </x:c>
      <x:c r="E60" s="17" t="str">
        <x:v>Controlled fixture</x:v>
      </x:c>
      <x:c r="F60" s="17" t="str">
        <x:v>Pro</x:v>
      </x:c>
      <x:c r="G60" s="17" t="str">
        <x:v>Fixture</x:v>
      </x:c>
      <x:c r="H60" s="17" t="str">
        <x:v>Successful completion accounting</x:v>
      </x:c>
      <x:c r="I60" s="17" t="str">
        <x:v>Run success fixture.</x:v>
      </x:c>
      <x:c r="J60" s="17" t="str">
        <x:v>Durable Future exists before exactly one unit is consumed.</x:v>
      </x:c>
      <x:c r="K60" s="17" t="str">
        <x:v>NOT RUN</x:v>
      </x:c>
      <x:c r="L60" s="17" t="str"/>
      <x:c r="M60" s="17" t="str"/>
      <x:c r="N60" s="17" t="str"/>
      <x:c r="O60" s="17" t="str"/>
      <x:c r="P60" s="17" t="str"/>
    </x:row>
    <x:row r="61">
      <x:c r="A61" s="17" t="str">
        <x:v>SS-060</x:v>
      </x:c>
      <x:c r="B61" s="17" t="n">
        <x:v>3</x:v>
      </x:c>
      <x:c r="C61" s="17" t="str">
        <x:v>Futures</x:v>
      </x:c>
      <x:c r="D61" s="17" t="str">
        <x:v>P0</x:v>
      </x:c>
      <x:c r="E61" s="17" t="str">
        <x:v>Controlled fixture</x:v>
      </x:c>
      <x:c r="F61" s="17" t="str">
        <x:v>Pro</x:v>
      </x:c>
      <x:c r="G61" s="17" t="str">
        <x:v>Fixture</x:v>
      </x:c>
      <x:c r="H61" s="17" t="str">
        <x:v>Failure accounting</x:v>
      </x:c>
      <x:c r="I61" s="17" t="str">
        <x:v>Run terminal failure fixture.</x:v>
      </x:c>
      <x:c r="J61" s="17" t="str">
        <x:v>No usable Future → no consumed unit; release/refund follows policy.</x:v>
      </x:c>
      <x:c r="K61" s="17" t="str">
        <x:v>NOT RUN</x:v>
      </x:c>
      <x:c r="L61" s="17" t="str"/>
      <x:c r="M61" s="17" t="str"/>
      <x:c r="N61" s="17" t="str"/>
      <x:c r="O61" s="17" t="str"/>
      <x:c r="P61" s="17" t="str"/>
    </x:row>
    <x:row r="62">
      <x:c r="A62" s="17" t="str">
        <x:v>SS-061</x:v>
      </x:c>
      <x:c r="B62" s="17" t="n">
        <x:v>3</x:v>
      </x:c>
      <x:c r="C62" s="17" t="str">
        <x:v>Futures</x:v>
      </x:c>
      <x:c r="D62" s="17" t="str">
        <x:v>P0</x:v>
      </x:c>
      <x:c r="E62" s="17" t="str">
        <x:v>Controlled fixture</x:v>
      </x:c>
      <x:c r="F62" s="17" t="str">
        <x:v>Pro</x:v>
      </x:c>
      <x:c r="G62" s="17" t="str">
        <x:v>Fixture</x:v>
      </x:c>
      <x:c r="H62" s="17" t="str">
        <x:v>Timeout/resume</x:v>
      </x:c>
      <x:c r="I62" s="17" t="str">
        <x:v>Run retryable timeout fixture then Resume.</x:v>
      </x:c>
      <x:c r="J62" s="17" t="str">
        <x:v>Completed stages reused; no second reservation; max one final consumption.</x:v>
      </x:c>
      <x:c r="K62" s="17" t="str">
        <x:v>NOT RUN</x:v>
      </x:c>
      <x:c r="L62" s="17" t="str"/>
      <x:c r="M62" s="17" t="str"/>
      <x:c r="N62" s="17" t="str"/>
      <x:c r="O62" s="17" t="str"/>
      <x:c r="P62" s="17" t="str"/>
    </x:row>
    <x:row r="63">
      <x:c r="A63" s="17" t="str">
        <x:v>SS-062</x:v>
      </x:c>
      <x:c r="B63" s="17" t="n">
        <x:v>3</x:v>
      </x:c>
      <x:c r="C63" s="17" t="str">
        <x:v>Futures</x:v>
      </x:c>
      <x:c r="D63" s="17" t="str">
        <x:v>P0</x:v>
      </x:c>
      <x:c r="E63" s="17" t="str">
        <x:v>Production safe</x:v>
      </x:c>
      <x:c r="F63" s="17" t="str">
        <x:v>Pro</x:v>
      </x:c>
      <x:c r="G63" s="17" t="str">
        <x:v>Production</x:v>
      </x:c>
      <x:c r="H63" s="17" t="str">
        <x:v>Cached Future reopen</x:v>
      </x:c>
      <x:c r="I63" s="17" t="str">
        <x:v>Reopen completed Future from My Projects.</x:v>
      </x:c>
      <x:c r="J63" s="17" t="str">
        <x:v>Future opens immediately with zero new provider call/usage.</x:v>
      </x:c>
      <x:c r="K63" s="17" t="str">
        <x:v>NOT RUN</x:v>
      </x:c>
      <x:c r="L63" s="17" t="str"/>
      <x:c r="M63" s="17" t="str"/>
      <x:c r="N63" s="17" t="str"/>
      <x:c r="O63" s="17" t="str"/>
      <x:c r="P63" s="17" t="str"/>
    </x:row>
    <x:row r="64">
      <x:c r="A64" s="17" t="str">
        <x:v>SS-063</x:v>
      </x:c>
      <x:c r="B64" s="17" t="n">
        <x:v>3</x:v>
      </x:c>
      <x:c r="C64" s="17" t="str">
        <x:v>Futures</x:v>
      </x:c>
      <x:c r="D64" s="17" t="str">
        <x:v>P1</x:v>
      </x:c>
      <x:c r="E64" s="17" t="str">
        <x:v>Production safe</x:v>
      </x:c>
      <x:c r="F64" s="17" t="str">
        <x:v>Pro</x:v>
      </x:c>
      <x:c r="G64" s="17" t="str">
        <x:v>Production</x:v>
      </x:c>
      <x:c r="H64" s="17" t="str">
        <x:v>Quick / Deep</x:v>
      </x:c>
      <x:c r="I64" s="17" t="str">
        <x:v>Switch Quick and Deep.</x:v>
      </x:c>
      <x:c r="J64" s="17" t="str">
        <x:v>Density changes appropriately; both remain readable.</x:v>
      </x:c>
      <x:c r="K64" s="17" t="str">
        <x:v>NOT RUN</x:v>
      </x:c>
      <x:c r="L64" s="17" t="str"/>
      <x:c r="M64" s="17" t="str"/>
      <x:c r="N64" s="17" t="str"/>
      <x:c r="O64" s="17" t="str"/>
      <x:c r="P64" s="17" t="str"/>
    </x:row>
    <x:row r="65">
      <x:c r="A65" s="17" t="str">
        <x:v>SS-064</x:v>
      </x:c>
      <x:c r="B65" s="17" t="n">
        <x:v>3</x:v>
      </x:c>
      <x:c r="C65" s="17" t="str">
        <x:v>Futures</x:v>
      </x:c>
      <x:c r="D65" s="17" t="str">
        <x:v>P1</x:v>
      </x:c>
      <x:c r="E65" s="17" t="str">
        <x:v>Production safe</x:v>
      </x:c>
      <x:c r="F65" s="17" t="str">
        <x:v>Pro</x:v>
      </x:c>
      <x:c r="G65" s="17" t="str">
        <x:v>Production</x:v>
      </x:c>
      <x:c r="H65" s="17" t="str">
        <x:v>Horizontal / Vertical</x:v>
      </x:c>
      <x:c r="I65" s="17" t="str">
        <x:v>Switch orientation.</x:v>
      </x:c>
      <x:c r="J65" s="17" t="str">
        <x:v>Topology/roles preserved; readable layout in both.</x:v>
      </x:c>
      <x:c r="K65" s="17" t="str">
        <x:v>NOT RUN</x:v>
      </x:c>
      <x:c r="L65" s="17" t="str"/>
      <x:c r="M65" s="17" t="str"/>
      <x:c r="N65" s="17" t="str"/>
      <x:c r="O65" s="17" t="str"/>
      <x:c r="P65" s="17" t="str"/>
    </x:row>
    <x:row r="66">
      <x:c r="A66" s="17" t="str">
        <x:v>SS-065</x:v>
      </x:c>
      <x:c r="B66" s="17" t="n">
        <x:v>3</x:v>
      </x:c>
      <x:c r="C66" s="17" t="str">
        <x:v>Futures</x:v>
      </x:c>
      <x:c r="D66" s="17" t="str">
        <x:v>P1</x:v>
      </x:c>
      <x:c r="E66" s="17" t="str">
        <x:v>Production safe</x:v>
      </x:c>
      <x:c r="F66" s="17" t="str">
        <x:v>Pro</x:v>
      </x:c>
      <x:c r="G66" s="17" t="str">
        <x:v>Production</x:v>
      </x:c>
      <x:c r="H66" s="17" t="str">
        <x:v>Semantic zoom</x:v>
      </x:c>
      <x:c r="I66" s="17" t="str">
        <x:v>Cross strategy/path/detail/implementation.</x:v>
      </x:c>
      <x:c r="J66" s="17" t="str">
        <x:v>Meaning progressively reveals; no layout jump/flicker.</x:v>
      </x:c>
      <x:c r="K66" s="17" t="str">
        <x:v>NOT RUN</x:v>
      </x:c>
      <x:c r="L66" s="17" t="str"/>
      <x:c r="M66" s="17" t="str"/>
      <x:c r="N66" s="17" t="str"/>
      <x:c r="O66" s="17" t="str"/>
      <x:c r="P66" s="17" t="str"/>
    </x:row>
    <x:row r="67">
      <x:c r="A67" s="17" t="str">
        <x:v>SS-066</x:v>
      </x:c>
      <x:c r="B67" s="17" t="n">
        <x:v>3</x:v>
      </x:c>
      <x:c r="C67" s="17" t="str">
        <x:v>Futures</x:v>
      </x:c>
      <x:c r="D67" s="17" t="str">
        <x:v>P1</x:v>
      </x:c>
      <x:c r="E67" s="17" t="str">
        <x:v>Production safe</x:v>
      </x:c>
      <x:c r="F67" s="17" t="str">
        <x:v>Pro</x:v>
      </x:c>
      <x:c r="G67" s="17" t="str">
        <x:v>Production</x:v>
      </x:c>
      <x:c r="H67" s="17" t="str">
        <x:v>Readable node containment</x:v>
      </x:c>
      <x:c r="I67" s="17" t="str">
        <x:v>Zoom dense Cantu path.</x:v>
      </x:c>
      <x:c r="J67" s="17" t="str">
        <x:v>0 text overflow and no overlapping readable cards.</x:v>
      </x:c>
      <x:c r="K67" s="17" t="str">
        <x:v>NOT RUN</x:v>
      </x:c>
      <x:c r="L67" s="17" t="str"/>
      <x:c r="M67" s="17" t="str"/>
      <x:c r="N67" s="17" t="str"/>
      <x:c r="O67" s="17" t="str"/>
      <x:c r="P67" s="17" t="str"/>
    </x:row>
    <x:row r="68">
      <x:c r="A68" s="17" t="str">
        <x:v>SS-067</x:v>
      </x:c>
      <x:c r="B68" s="17" t="n">
        <x:v>3</x:v>
      </x:c>
      <x:c r="C68" s="17" t="str">
        <x:v>Futures</x:v>
      </x:c>
      <x:c r="D68" s="17" t="str">
        <x:v>P1</x:v>
      </x:c>
      <x:c r="E68" s="17" t="str">
        <x:v>Production safe</x:v>
      </x:c>
      <x:c r="F68" s="17" t="str">
        <x:v>Pro</x:v>
      </x:c>
      <x:c r="G68" s="17" t="str">
        <x:v>Production</x:v>
      </x:c>
      <x:c r="H68" s="17" t="str">
        <x:v>Primary selection</x:v>
      </x:c>
      <x:c r="I68" s="17" t="str">
        <x:v>Choose Primary Future.</x:v>
      </x:c>
      <x:c r="J68" s="17" t="str">
        <x:v>Primary route resolves visually and remains dominant.</x:v>
      </x:c>
      <x:c r="K68" s="17" t="str">
        <x:v>NOT RUN</x:v>
      </x:c>
      <x:c r="L68" s="17" t="str"/>
      <x:c r="M68" s="17" t="str"/>
      <x:c r="N68" s="17" t="str"/>
      <x:c r="O68" s="17" t="str"/>
      <x:c r="P68" s="17" t="str"/>
    </x:row>
    <x:row r="69">
      <x:c r="A69" s="17" t="str">
        <x:v>SS-068</x:v>
      </x:c>
      <x:c r="B69" s="17" t="n">
        <x:v>3</x:v>
      </x:c>
      <x:c r="C69" s="17" t="str">
        <x:v>Futures</x:v>
      </x:c>
      <x:c r="D69" s="17" t="str">
        <x:v>P1</x:v>
      </x:c>
      <x:c r="E69" s="17" t="str">
        <x:v>Production safe</x:v>
      </x:c>
      <x:c r="F69" s="17" t="str">
        <x:v>Pro</x:v>
      </x:c>
      <x:c r="G69" s="17" t="str">
        <x:v>Production</x:v>
      </x:c>
      <x:c r="H69" s="17" t="str">
        <x:v>Supporting Future</x:v>
      </x:c>
      <x:c r="I69" s="17" t="str">
        <x:v>Add/remove a Support where available.</x:v>
      </x:c>
      <x:c r="J69" s="17" t="str">
        <x:v>Support remains secondary and does not trigger paid AI.</x:v>
      </x:c>
      <x:c r="K69" s="17" t="str">
        <x:v>NOT RUN</x:v>
      </x:c>
      <x:c r="L69" s="17" t="str"/>
      <x:c r="M69" s="17" t="str"/>
      <x:c r="N69" s="17" t="str"/>
      <x:c r="O69" s="17" t="str"/>
      <x:c r="P69" s="17" t="str"/>
    </x:row>
    <x:row r="70">
      <x:c r="A70" s="17" t="str">
        <x:v>SS-069</x:v>
      </x:c>
      <x:c r="B70" s="17" t="n">
        <x:v>3</x:v>
      </x:c>
      <x:c r="C70" s="17" t="str">
        <x:v>Fast Path</x:v>
      </x:c>
      <x:c r="D70" s="17" t="str">
        <x:v>P1</x:v>
      </x:c>
      <x:c r="E70" s="17" t="str">
        <x:v>Production safe</x:v>
      </x:c>
      <x:c r="F70" s="17" t="str">
        <x:v>Pro</x:v>
      </x:c>
      <x:c r="G70" s="17" t="str">
        <x:v>Production</x:v>
      </x:c>
      <x:c r="H70" s="17" t="str">
        <x:v>Futures Fast Path click budget</x:v>
      </x:c>
      <x:c r="I70" s="17" t="str">
        <x:v>Futures → select Future → Build this future → Prepare for agent.</x:v>
      </x:c>
      <x:c r="J70" s="17" t="str">
        <x:v>Agent-ready result within ≤4 meaningful clicks excluding AI wait.</x:v>
      </x:c>
      <x:c r="K70" s="17" t="str">
        <x:v>NOT RUN</x:v>
      </x:c>
      <x:c r="L70" s="17" t="str"/>
      <x:c r="M70" s="17" t="str"/>
      <x:c r="N70" s="17" t="str"/>
      <x:c r="O70" s="17" t="str"/>
      <x:c r="P70" s="17" t="str"/>
    </x:row>
    <x:row r="71">
      <x:c r="A71" s="17" t="str">
        <x:v>SS-070</x:v>
      </x:c>
      <x:c r="B71" s="17" t="n">
        <x:v>3</x:v>
      </x:c>
      <x:c r="C71" s="17" t="str">
        <x:v>Motion</x:v>
      </x:c>
      <x:c r="D71" s="17" t="str">
        <x:v>P2</x:v>
      </x:c>
      <x:c r="E71" s="17" t="str">
        <x:v>Production safe</x:v>
      </x:c>
      <x:c r="F71" s="17" t="str">
        <x:v>Free/Pro</x:v>
      </x:c>
      <x:c r="G71" s="17" t="str">
        <x:v>Production</x:v>
      </x:c>
      <x:c r="H71" s="17" t="str">
        <x:v>Hover/click motion</x:v>
      </x:c>
      <x:c r="I71" s="17" t="str">
        <x:v>Explore Universe/Futures.</x:v>
      </x:c>
      <x:c r="J71" s="17" t="str">
        <x:v>Motion explains relationships; no decorative noise or layout drift.</x:v>
      </x:c>
      <x:c r="K71" s="17" t="str">
        <x:v>NOT RUN</x:v>
      </x:c>
      <x:c r="L71" s="17" t="str"/>
      <x:c r="M71" s="17" t="str"/>
      <x:c r="N71" s="17" t="str"/>
      <x:c r="O71" s="17" t="str"/>
      <x:c r="P71" s="17" t="str"/>
    </x:row>
    <x:row r="72">
      <x:c r="A72" s="17" t="str">
        <x:v>SS-071</x:v>
      </x:c>
      <x:c r="B72" s="17" t="n">
        <x:v>3</x:v>
      </x:c>
      <x:c r="C72" s="17" t="str">
        <x:v>Motion</x:v>
      </x:c>
      <x:c r="D72" s="17" t="str">
        <x:v>P1</x:v>
      </x:c>
      <x:c r="E72" s="17" t="str">
        <x:v>Production safe</x:v>
      </x:c>
      <x:c r="F72" s="17" t="str">
        <x:v>Free/Pro</x:v>
      </x:c>
      <x:c r="G72" s="17" t="str">
        <x:v>Production</x:v>
      </x:c>
      <x:c r="H72" s="17" t="str">
        <x:v>Reduced motion</x:v>
      </x:c>
      <x:c r="I72" s="17" t="str">
        <x:v>Enable prefers-reduced-motion and repeat core interaction.</x:v>
      </x:c>
      <x:c r="J72" s="17" t="str">
        <x:v>No essential information lost; camera/staged movement suppressed.</x:v>
      </x:c>
      <x:c r="K72" s="17" t="str">
        <x:v>NOT RUN</x:v>
      </x:c>
      <x:c r="L72" s="17" t="str"/>
      <x:c r="M72" s="17" t="str"/>
      <x:c r="N72" s="17" t="str"/>
      <x:c r="O72" s="17" t="str"/>
      <x:c r="P72" s="17" t="str"/>
    </x:row>
    <x:row r="73">
      <x:c r="A73" s="17" t="str">
        <x:v>SS-072</x:v>
      </x:c>
      <x:c r="B73" s="17" t="n">
        <x:v>4</x:v>
      </x:c>
      <x:c r="C73" s="17" t="str">
        <x:v>Executable Plan</x:v>
      </x:c>
      <x:c r="D73" s="17" t="str">
        <x:v>P1</x:v>
      </x:c>
      <x:c r="E73" s="17" t="str">
        <x:v>Production safe</x:v>
      </x:c>
      <x:c r="F73" s="17" t="str">
        <x:v>Pro</x:v>
      </x:c>
      <x:c r="G73" s="17" t="str">
        <x:v>Production</x:v>
      </x:c>
      <x:c r="H73" s="17" t="str">
        <x:v>Ready-to-build summary</x:v>
      </x:c>
      <x:c r="I73" s="17" t="str">
        <x:v>Build selected Future.</x:v>
      </x:c>
      <x:c r="J73" s="17" t="str">
        <x:v>Concise summary shows real step/prerequisite/area counts.</x:v>
      </x:c>
      <x:c r="K73" s="17" t="str">
        <x:v>NOT RUN</x:v>
      </x:c>
      <x:c r="L73" s="17" t="str"/>
      <x:c r="M73" s="17" t="str"/>
      <x:c r="N73" s="17" t="str"/>
      <x:c r="O73" s="17" t="str"/>
      <x:c r="P73" s="17" t="str"/>
    </x:row>
    <x:row r="74">
      <x:c r="A74" s="17" t="str">
        <x:v>SS-073</x:v>
      </x:c>
      <x:c r="B74" s="17" t="n">
        <x:v>4</x:v>
      </x:c>
      <x:c r="C74" s="17" t="str">
        <x:v>Executable Plan</x:v>
      </x:c>
      <x:c r="D74" s="17" t="str">
        <x:v>P1</x:v>
      </x:c>
      <x:c r="E74" s="17" t="str">
        <x:v>Production safe</x:v>
      </x:c>
      <x:c r="F74" s="17" t="str">
        <x:v>Pro</x:v>
      </x:c>
      <x:c r="G74" s="17" t="str">
        <x:v>Production</x:v>
      </x:c>
      <x:c r="H74" s="17" t="str">
        <x:v>Prerequisites</x:v>
      </x:c>
      <x:c r="I74" s="17" t="str">
        <x:v>Inspect prerequisites.</x:v>
      </x:c>
      <x:c r="J74" s="17" t="str">
        <x:v>Required capabilities are ordered and grounded.</x:v>
      </x:c>
      <x:c r="K74" s="17" t="str">
        <x:v>NOT RUN</x:v>
      </x:c>
      <x:c r="L74" s="17" t="str"/>
      <x:c r="M74" s="17" t="str"/>
      <x:c r="N74" s="17" t="str"/>
      <x:c r="O74" s="17" t="str"/>
      <x:c r="P74" s="17" t="str"/>
    </x:row>
    <x:row r="75">
      <x:c r="A75" s="17" t="str">
        <x:v>SS-074</x:v>
      </x:c>
      <x:c r="B75" s="17" t="n">
        <x:v>4</x:v>
      </x:c>
      <x:c r="C75" s="17" t="str">
        <x:v>Executable Plan</x:v>
      </x:c>
      <x:c r="D75" s="17" t="str">
        <x:v>P1</x:v>
      </x:c>
      <x:c r="E75" s="17" t="str">
        <x:v>Production safe</x:v>
      </x:c>
      <x:c r="F75" s="17" t="str">
        <x:v>Pro</x:v>
      </x:c>
      <x:c r="G75" s="17" t="str">
        <x:v>Production</x:v>
      </x:c>
      <x:c r="H75" s="17" t="str">
        <x:v>Affected areas</x:v>
      </x:c>
      <x:c r="I75" s="17" t="str">
        <x:v>Open affected areas.</x:v>
      </x:c>
      <x:c r="J75" s="17" t="str">
        <x:v>Existing paths only shown when supported by scan evidence; new responsibilities clearly distinguished.</x:v>
      </x:c>
      <x:c r="K75" s="17" t="str">
        <x:v>NOT RUN</x:v>
      </x:c>
      <x:c r="L75" s="17" t="str"/>
      <x:c r="M75" s="17" t="str"/>
      <x:c r="N75" s="17" t="str"/>
      <x:c r="O75" s="17" t="str"/>
      <x:c r="P75" s="17" t="str"/>
    </x:row>
    <x:row r="76">
      <x:c r="A76" s="17" t="str">
        <x:v>SS-075</x:v>
      </x:c>
      <x:c r="B76" s="17" t="n">
        <x:v>4</x:v>
      </x:c>
      <x:c r="C76" s="17" t="str">
        <x:v>Executable Plan</x:v>
      </x:c>
      <x:c r="D76" s="17" t="str">
        <x:v>P2</x:v>
      </x:c>
      <x:c r="E76" s="17" t="str">
        <x:v>Production safe</x:v>
      </x:c>
      <x:c r="F76" s="17" t="str">
        <x:v>Pro</x:v>
      </x:c>
      <x:c r="G76" s="17" t="str">
        <x:v>Production</x:v>
      </x:c>
      <x:c r="H76" s="17" t="str">
        <x:v>Progressive disclosure</x:v>
      </x:c>
      <x:c r="I76" s="17" t="str">
        <x:v>Open plan default view.</x:v>
      </x:c>
      <x:c r="J76" s="17" t="str">
        <x:v>Detailed steps/evidence are collapsed by default; no wall of content.</x:v>
      </x:c>
      <x:c r="K76" s="17" t="str">
        <x:v>NOT RUN</x:v>
      </x:c>
      <x:c r="L76" s="17" t="str"/>
      <x:c r="M76" s="17" t="str"/>
      <x:c r="N76" s="17" t="str"/>
      <x:c r="O76" s="17" t="str"/>
      <x:c r="P76" s="17" t="str"/>
    </x:row>
    <x:row r="77">
      <x:c r="A77" s="17" t="str">
        <x:v>SS-076</x:v>
      </x:c>
      <x:c r="B77" s="17" t="n">
        <x:v>4</x:v>
      </x:c>
      <x:c r="C77" s="17" t="str">
        <x:v>Executable Plan</x:v>
      </x:c>
      <x:c r="D77" s="17" t="str">
        <x:v>P1</x:v>
      </x:c>
      <x:c r="E77" s="17" t="str">
        <x:v>Production safe</x:v>
      </x:c>
      <x:c r="F77" s="17" t="str">
        <x:v>Pro</x:v>
      </x:c>
      <x:c r="G77" s="17" t="str">
        <x:v>Production</x:v>
      </x:c>
      <x:c r="H77" s="17" t="str">
        <x:v>Advanced plan</x:v>
      </x:c>
      <x:c r="I77" s="17" t="str">
        <x:v>Open Advanced plan.</x:v>
      </x:c>
      <x:c r="J77" s="17" t="str">
        <x:v>All detailed implementation content remains reachable.</x:v>
      </x:c>
      <x:c r="K77" s="17" t="str">
        <x:v>NOT RUN</x:v>
      </x:c>
      <x:c r="L77" s="17" t="str"/>
      <x:c r="M77" s="17" t="str"/>
      <x:c r="N77" s="17" t="str"/>
      <x:c r="O77" s="17" t="str"/>
      <x:c r="P77" s="17" t="str"/>
    </x:row>
    <x:row r="78">
      <x:c r="A78" s="17" t="str">
        <x:v>SS-077</x:v>
      </x:c>
      <x:c r="B78" s="17" t="n">
        <x:v>4</x:v>
      </x:c>
      <x:c r="C78" s="17" t="str">
        <x:v>Executable Plan</x:v>
      </x:c>
      <x:c r="D78" s="17" t="str">
        <x:v>P0</x:v>
      </x:c>
      <x:c r="E78" s="17" t="str">
        <x:v>Production safe</x:v>
      </x:c>
      <x:c r="F78" s="17" t="str">
        <x:v>Pro</x:v>
      </x:c>
      <x:c r="G78" s="17" t="str">
        <x:v>Production</x:v>
      </x:c>
      <x:c r="H78" s="17" t="str">
        <x:v>Provider-free plan changes</x:v>
      </x:c>
      <x:c r="I78" s="17" t="str">
        <x:v>Change Primary/Supports and regenerate deterministic plan.</x:v>
      </x:c>
      <x:c r="J78" s="17" t="str">
        <x:v>No paid provider request or extra Deep Analysis unit.</x:v>
      </x:c>
      <x:c r="K78" s="17" t="str">
        <x:v>NOT RUN</x:v>
      </x:c>
      <x:c r="L78" s="17" t="str"/>
      <x:c r="M78" s="17" t="str"/>
      <x:c r="N78" s="17" t="str"/>
      <x:c r="O78" s="17" t="str"/>
      <x:c r="P78" s="17" t="str"/>
    </x:row>
    <x:row r="79">
      <x:c r="A79" s="17" t="str">
        <x:v>SS-078</x:v>
      </x:c>
      <x:c r="B79" s="17" t="n">
        <x:v>4</x:v>
      </x:c>
      <x:c r="C79" s="17" t="str">
        <x:v>Delivery</x:v>
      </x:c>
      <x:c r="D79" s="17" t="str">
        <x:v>P1</x:v>
      </x:c>
      <x:c r="E79" s="17" t="str">
        <x:v>Production safe</x:v>
      </x:c>
      <x:c r="F79" s="17" t="str">
        <x:v>Free/Pro</x:v>
      </x:c>
      <x:c r="G79" s="17" t="str">
        <x:v>Production</x:v>
      </x:c>
      <x:c r="H79" s="17" t="str">
        <x:v>Give to AI agent</x:v>
      </x:c>
      <x:c r="I79" s="17" t="str">
        <x:v>Choose recommended agent delivery.</x:v>
      </x:c>
      <x:c r="J79" s="17" t="str">
        <x:v>Produces non-empty usable agent-ready artifact.</x:v>
      </x:c>
      <x:c r="K79" s="17" t="str">
        <x:v>NOT RUN</x:v>
      </x:c>
      <x:c r="L79" s="17" t="str"/>
      <x:c r="M79" s="17" t="str"/>
      <x:c r="N79" s="17" t="str"/>
      <x:c r="O79" s="17" t="str"/>
      <x:c r="P79" s="17" t="str"/>
    </x:row>
    <x:row r="80">
      <x:c r="A80" s="17" t="str">
        <x:v>SS-079</x:v>
      </x:c>
      <x:c r="B80" s="17" t="n">
        <x:v>4</x:v>
      </x:c>
      <x:c r="C80" s="17" t="str">
        <x:v>Delivery</x:v>
      </x:c>
      <x:c r="D80" s="17" t="str">
        <x:v>P1</x:v>
      </x:c>
      <x:c r="E80" s="17" t="str">
        <x:v>Production safe</x:v>
      </x:c>
      <x:c r="F80" s="17" t="str">
        <x:v>Free/Pro</x:v>
      </x:c>
      <x:c r="G80" s="17" t="str">
        <x:v>Production</x:v>
      </x:c>
      <x:c r="H80" s="17" t="str">
        <x:v>Copy agent prompt</x:v>
      </x:c>
      <x:c r="I80" s="17" t="str">
        <x:v>Copy generated prompt.</x:v>
      </x:c>
      <x:c r="J80" s="17" t="str">
        <x:v>Clipboard content is complete, coherent and repository-specific.</x:v>
      </x:c>
      <x:c r="K80" s="17" t="str">
        <x:v>NOT RUN</x:v>
      </x:c>
      <x:c r="L80" s="17" t="str"/>
      <x:c r="M80" s="17" t="str"/>
      <x:c r="N80" s="17" t="str"/>
      <x:c r="O80" s="17" t="str"/>
      <x:c r="P80" s="17" t="str"/>
    </x:row>
    <x:row r="81">
      <x:c r="A81" s="17" t="str">
        <x:v>SS-080</x:v>
      </x:c>
      <x:c r="B81" s="17" t="n">
        <x:v>4</x:v>
      </x:c>
      <x:c r="C81" s="17" t="str">
        <x:v>Delivery</x:v>
      </x:c>
      <x:c r="D81" s="17" t="str">
        <x:v>P1</x:v>
      </x:c>
      <x:c r="E81" s="17" t="str">
        <x:v>Production safe</x:v>
      </x:c>
      <x:c r="F81" s="17" t="str">
        <x:v>Free/Pro</x:v>
      </x:c>
      <x:c r="G81" s="17" t="str">
        <x:v>Production</x:v>
      </x:c>
      <x:c r="H81" s="17" t="str">
        <x:v>Download plan</x:v>
      </x:c>
      <x:c r="I81" s="17" t="str">
        <x:v>Download deterministic plan.</x:v>
      </x:c>
      <x:c r="J81" s="17" t="str">
        <x:v>File opens and contains expected repository/Future context.</x:v>
      </x:c>
      <x:c r="K81" s="17" t="str">
        <x:v>NOT RUN</x:v>
      </x:c>
      <x:c r="L81" s="17" t="str"/>
      <x:c r="M81" s="17" t="str"/>
      <x:c r="N81" s="17" t="str"/>
      <x:c r="O81" s="17" t="str"/>
      <x:c r="P81" s="17" t="str"/>
    </x:row>
    <x:row r="82">
      <x:c r="A82" s="17" t="str">
        <x:v>SS-081</x:v>
      </x:c>
      <x:c r="B82" s="17" t="n">
        <x:v>4</x:v>
      </x:c>
      <x:c r="C82" s="17" t="str">
        <x:v>Delivery</x:v>
      </x:c>
      <x:c r="D82" s="17" t="str">
        <x:v>P1</x:v>
      </x:c>
      <x:c r="E82" s="17" t="str">
        <x:v>Production safe</x:v>
      </x:c>
      <x:c r="F82" s="17" t="str">
        <x:v>Free/Pro</x:v>
      </x:c>
      <x:c r="G82" s="17" t="str">
        <x:v>Production</x:v>
      </x:c>
      <x:c r="H82" s="17" t="str">
        <x:v>Client handoff</x:v>
      </x:c>
      <x:c r="I82" s="17" t="str">
        <x:v>Generate/open client handoff.</x:v>
      </x:c>
      <x:c r="J82" s="17" t="str">
        <x:v>Client-facing output is coherent and not raw internal diagnostics.</x:v>
      </x:c>
      <x:c r="K82" s="17" t="str">
        <x:v>NOT RUN</x:v>
      </x:c>
      <x:c r="L82" s="17" t="str"/>
      <x:c r="M82" s="17" t="str"/>
      <x:c r="N82" s="17" t="str"/>
      <x:c r="O82" s="17" t="str"/>
      <x:c r="P82" s="17" t="str"/>
    </x:row>
    <x:row r="83">
      <x:c r="A83" s="17" t="str">
        <x:v>SS-082</x:v>
      </x:c>
      <x:c r="B83" s="17" t="n">
        <x:v>4</x:v>
      </x:c>
      <x:c r="C83" s="17" t="str">
        <x:v>Delivery</x:v>
      </x:c>
      <x:c r="D83" s="17" t="str">
        <x:v>P1</x:v>
      </x:c>
      <x:c r="E83" s="17" t="str">
        <x:v>Production safe</x:v>
      </x:c>
      <x:c r="F83" s="17" t="str">
        <x:v>Free/Pro</x:v>
      </x:c>
      <x:c r="G83" s="17" t="str">
        <x:v>Production</x:v>
      </x:c>
      <x:c r="H83" s="17" t="str">
        <x:v>Delivery Pack ZIP</x:v>
      </x:c>
      <x:c r="I83" s="17" t="str">
        <x:v>Download Delivery Pack.</x:v>
      </x:c>
      <x:c r="J83" s="17" t="str">
        <x:v>ZIP opens and contains expected artifacts; manifest matches files.</x:v>
      </x:c>
      <x:c r="K83" s="17" t="str">
        <x:v>NOT RUN</x:v>
      </x:c>
      <x:c r="L83" s="17" t="str"/>
      <x:c r="M83" s="17" t="str"/>
      <x:c r="N83" s="17" t="str"/>
      <x:c r="O83" s="17" t="str"/>
      <x:c r="P83" s="17" t="str"/>
    </x:row>
    <x:row r="84">
      <x:c r="A84" s="17" t="str">
        <x:v>SS-083</x:v>
      </x:c>
      <x:c r="B84" s="17" t="n">
        <x:v>4</x:v>
      </x:c>
      <x:c r="C84" s="17" t="str">
        <x:v>Delivery</x:v>
      </x:c>
      <x:c r="D84" s="17" t="str">
        <x:v>P1</x:v>
      </x:c>
      <x:c r="E84" s="17" t="str">
        <x:v>Production safe</x:v>
      </x:c>
      <x:c r="F84" s="17" t="str">
        <x:v>Free/Pro</x:v>
      </x:c>
      <x:c r="G84" s="17" t="str">
        <x:v>Production</x:v>
      </x:c>
      <x:c r="H84" s="17" t="str">
        <x:v>PDF report</x:v>
      </x:c>
      <x:c r="I84" s="17" t="str">
        <x:v>Download/open PDF report.</x:v>
      </x:c>
      <x:c r="J84" s="17" t="str">
        <x:v>Branded readable report; correct project/score/evidence/package; no blank/awkward pages.</x:v>
      </x:c>
      <x:c r="K84" s="17" t="str">
        <x:v>NOT RUN</x:v>
      </x:c>
      <x:c r="L84" s="17" t="str"/>
      <x:c r="M84" s="17" t="str"/>
      <x:c r="N84" s="17" t="str"/>
      <x:c r="O84" s="17" t="str"/>
      <x:c r="P84" s="17" t="str"/>
    </x:row>
    <x:row r="85">
      <x:c r="A85" s="17" t="str">
        <x:v>SS-084</x:v>
      </x:c>
      <x:c r="B85" s="17" t="n">
        <x:v>4</x:v>
      </x:c>
      <x:c r="C85" s="17" t="str">
        <x:v>Delivery</x:v>
      </x:c>
      <x:c r="D85" s="17" t="str">
        <x:v>P1</x:v>
      </x:c>
      <x:c r="E85" s="17" t="str">
        <x:v>Production safe</x:v>
      </x:c>
      <x:c r="F85" s="17" t="str">
        <x:v>Free/Pro</x:v>
      </x:c>
      <x:c r="G85" s="17" t="str">
        <x:v>Production</x:v>
      </x:c>
      <x:c r="H85" s="17" t="str">
        <x:v>HTML report</x:v>
      </x:c>
      <x:c r="I85" s="17" t="str">
        <x:v>Open/export HTML report.</x:v>
      </x:c>
      <x:c r="J85" s="17" t="str">
        <x:v>Content agrees with PDF/dashboard on core values.</x:v>
      </x:c>
      <x:c r="K85" s="17" t="str">
        <x:v>NOT RUN</x:v>
      </x:c>
      <x:c r="L85" s="17" t="str"/>
      <x:c r="M85" s="17" t="str"/>
      <x:c r="N85" s="17" t="str"/>
      <x:c r="O85" s="17" t="str"/>
      <x:c r="P85" s="17" t="str"/>
    </x:row>
    <x:row r="86">
      <x:c r="A86" s="17" t="str">
        <x:v>SS-085</x:v>
      </x:c>
      <x:c r="B86" s="17" t="n">
        <x:v>4</x:v>
      </x:c>
      <x:c r="C86" s="17" t="str">
        <x:v>Delivery</x:v>
      </x:c>
      <x:c r="D86" s="17" t="str">
        <x:v>P1</x:v>
      </x:c>
      <x:c r="E86" s="17" t="str">
        <x:v>Production safe</x:v>
      </x:c>
      <x:c r="F86" s="17" t="str">
        <x:v>Free/Pro</x:v>
      </x:c>
      <x:c r="G86" s="17" t="str">
        <x:v>Production</x:v>
      </x:c>
      <x:c r="H86" s="17" t="str">
        <x:v>score.json</x:v>
      </x:c>
      <x:c r="I86" s="17" t="str">
        <x:v>Open exported score.json.</x:v>
      </x:c>
      <x:c r="J86" s="17" t="str">
        <x:v>Score/repository/package/scan evidence agree with UI and manifest.</x:v>
      </x:c>
      <x:c r="K86" s="17" t="str">
        <x:v>NOT RUN</x:v>
      </x:c>
      <x:c r="L86" s="17" t="str"/>
      <x:c r="M86" s="17" t="str"/>
      <x:c r="N86" s="17" t="str"/>
      <x:c r="O86" s="17" t="str"/>
      <x:c r="P86" s="17" t="str"/>
    </x:row>
    <x:row r="87">
      <x:c r="A87" s="17" t="str">
        <x:v>SS-086</x:v>
      </x:c>
      <x:c r="B87" s="17" t="n">
        <x:v>4</x:v>
      </x:c>
      <x:c r="C87" s="17" t="str">
        <x:v>Delivery</x:v>
      </x:c>
      <x:c r="D87" s="17" t="str">
        <x:v>P1</x:v>
      </x:c>
      <x:c r="E87" s="17" t="str">
        <x:v>Production safe</x:v>
      </x:c>
      <x:c r="F87" s="17" t="str">
        <x:v>Free/Pro</x:v>
      </x:c>
      <x:c r="G87" s="17" t="str">
        <x:v>Production</x:v>
      </x:c>
      <x:c r="H87" s="17" t="str">
        <x:v>Manifest consistency</x:v>
      </x:c>
      <x:c r="I87" s="17" t="str">
        <x:v>Compare manifest vs ZIP content/output count.</x:v>
      </x:c>
      <x:c r="J87" s="17" t="str">
        <x:v>Every declared file exists; no undeclared expected artifact missing.</x:v>
      </x:c>
      <x:c r="K87" s="17" t="str">
        <x:v>NOT RUN</x:v>
      </x:c>
      <x:c r="L87" s="17" t="str"/>
      <x:c r="M87" s="17" t="str"/>
      <x:c r="N87" s="17" t="str"/>
      <x:c r="O87" s="17" t="str"/>
      <x:c r="P87" s="17" t="str"/>
    </x:row>
    <x:row r="88">
      <x:c r="A88" s="17" t="str">
        <x:v>SS-087</x:v>
      </x:c>
      <x:c r="B88" s="17" t="n">
        <x:v>4</x:v>
      </x:c>
      <x:c r="C88" s="17" t="str">
        <x:v>Delivery</x:v>
      </x:c>
      <x:c r="D88" s="17" t="str">
        <x:v>P2</x:v>
      </x:c>
      <x:c r="E88" s="17" t="str">
        <x:v>Production safe</x:v>
      </x:c>
      <x:c r="F88" s="17" t="str">
        <x:v>Free/Pro</x:v>
      </x:c>
      <x:c r="G88" s="17" t="str">
        <x:v>Production</x:v>
      </x:c>
      <x:c r="H88" s="17" t="str">
        <x:v>Technical exports disclosure</x:v>
      </x:c>
      <x:c r="I88" s="17" t="str">
        <x:v>Open More delivery options / Advanced.</x:v>
      </x:c>
      <x:c r="J88" s="17" t="str">
        <x:v>Repository Intelligence and technical exports remain reachable without cluttering default flow.</x:v>
      </x:c>
      <x:c r="K88" s="17" t="str">
        <x:v>NOT RUN</x:v>
      </x:c>
      <x:c r="L88" s="17" t="str"/>
      <x:c r="M88" s="17" t="str"/>
      <x:c r="N88" s="17" t="str"/>
      <x:c r="O88" s="17" t="str"/>
      <x:c r="P88" s="17" t="str"/>
    </x:row>
    <x:row r="89">
      <x:c r="A89" s="17" t="str">
        <x:v>SS-088</x:v>
      </x:c>
      <x:c r="B89" s="17" t="n">
        <x:v>4</x:v>
      </x:c>
      <x:c r="C89" s="17" t="str">
        <x:v>Delivery</x:v>
      </x:c>
      <x:c r="D89" s="17" t="str">
        <x:v>P1</x:v>
      </x:c>
      <x:c r="E89" s="17" t="str">
        <x:v>Production safe</x:v>
      </x:c>
      <x:c r="F89" s="17" t="str">
        <x:v>Free/Pro</x:v>
      </x:c>
      <x:c r="G89" s="17" t="str">
        <x:v>Production</x:v>
      </x:c>
      <x:c r="H89" s="17" t="str">
        <x:v>AI Act/report disclaimer</x:v>
      </x:c>
      <x:c r="I89" s="17" t="str">
        <x:v>Inspect relevant report/export.</x:v>
      </x:c>
      <x:c r="J89" s="17" t="str">
        <x:v>Concise informational/not-legal-advice boundary appears where appropriate.</x:v>
      </x:c>
      <x:c r="K89" s="17" t="str">
        <x:v>NOT RUN</x:v>
      </x:c>
      <x:c r="L89" s="17" t="str"/>
      <x:c r="M89" s="17" t="str"/>
      <x:c r="N89" s="17" t="str"/>
      <x:c r="O89" s="17" t="str"/>
      <x:c r="P89" s="17" t="str"/>
    </x:row>
    <x:row r="90">
      <x:c r="A90" s="17" t="str">
        <x:v>SS-089</x:v>
      </x:c>
      <x:c r="B90" s="17" t="n">
        <x:v>4</x:v>
      </x:c>
      <x:c r="C90" s="17" t="str">
        <x:v>GitHub PR</x:v>
      </x:c>
      <x:c r="D90" s="17" t="str">
        <x:v>P0</x:v>
      </x:c>
      <x:c r="E90" s="17" t="str">
        <x:v>Controlled disposable repo</x:v>
      </x:c>
      <x:c r="F90" s="17" t="str">
        <x:v>Free/Pro</x:v>
      </x:c>
      <x:c r="G90" s="17" t="str">
        <x:v>Production/Fixture</x:v>
      </x:c>
      <x:c r="H90" s="17" t="str">
        <x:v>PR preview</x:v>
      </x:c>
      <x:c r="I90" s="17" t="str">
        <x:v>Prepare PR against disposable repository.</x:v>
      </x:c>
      <x:c r="J90" s="17" t="str">
        <x:v>Diff/branch/files are previewed before any write.</x:v>
      </x:c>
      <x:c r="K90" s="17" t="str">
        <x:v>NOT RUN</x:v>
      </x:c>
      <x:c r="L90" s="17" t="str"/>
      <x:c r="M90" s="17" t="str"/>
      <x:c r="N90" s="17" t="str"/>
      <x:c r="O90" s="17" t="str"/>
      <x:c r="P90" s="17" t="str"/>
    </x:row>
    <x:row r="91">
      <x:c r="A91" s="17" t="str">
        <x:v>SS-090</x:v>
      </x:c>
      <x:c r="B91" s="17" t="n">
        <x:v>4</x:v>
      </x:c>
      <x:c r="C91" s="17" t="str">
        <x:v>GitHub PR</x:v>
      </x:c>
      <x:c r="D91" s="17" t="str">
        <x:v>P0</x:v>
      </x:c>
      <x:c r="E91" s="17" t="str">
        <x:v>Controlled disposable repo</x:v>
      </x:c>
      <x:c r="F91" s="17" t="str">
        <x:v>Free/Pro</x:v>
      </x:c>
      <x:c r="G91" s="17" t="str">
        <x:v>Production/Fixture</x:v>
      </x:c>
      <x:c r="H91" s="17" t="str">
        <x:v>Explicit mutation confirmation</x:v>
      </x:c>
      <x:c r="I91" s="17" t="str">
        <x:v>Proceed to PR creation.</x:v>
      </x:c>
      <x:c r="J91" s="17" t="str">
        <x:v>No repository mutation occurs before explicit confirmation.</x:v>
      </x:c>
      <x:c r="K91" s="17" t="str">
        <x:v>NOT RUN</x:v>
      </x:c>
      <x:c r="L91" s="17" t="str"/>
      <x:c r="M91" s="17" t="str"/>
      <x:c r="N91" s="17" t="str"/>
      <x:c r="O91" s="17" t="str"/>
      <x:c r="P91" s="17" t="str"/>
    </x:row>
    <x:row r="92">
      <x:c r="A92" s="17" t="str">
        <x:v>SS-091</x:v>
      </x:c>
      <x:c r="B92" s="17" t="n">
        <x:v>4</x:v>
      </x:c>
      <x:c r="C92" s="17" t="str">
        <x:v>GitHub PR</x:v>
      </x:c>
      <x:c r="D92" s="17" t="str">
        <x:v>P1</x:v>
      </x:c>
      <x:c r="E92" s="17" t="str">
        <x:v>Controlled disposable repo</x:v>
      </x:c>
      <x:c r="F92" s="17" t="str">
        <x:v>Free/Pro</x:v>
      </x:c>
      <x:c r="G92" s="17" t="str">
        <x:v>Production/Fixture</x:v>
      </x:c>
      <x:c r="H92" s="17" t="str">
        <x:v>PR creation</x:v>
      </x:c>
      <x:c r="I92" s="17" t="str">
        <x:v>Confirm mutation.</x:v>
      </x:c>
      <x:c r="J92" s="17" t="str">
        <x:v>Safe branch created and PR opened in correct repository.</x:v>
      </x:c>
      <x:c r="K92" s="17" t="str">
        <x:v>NOT RUN</x:v>
      </x:c>
      <x:c r="L92" s="17" t="str"/>
      <x:c r="M92" s="17" t="str"/>
      <x:c r="N92" s="17" t="str"/>
      <x:c r="O92" s="17" t="str"/>
      <x:c r="P92" s="17" t="str"/>
    </x:row>
    <x:row r="93">
      <x:c r="A93" s="17" t="str">
        <x:v>SS-092</x:v>
      </x:c>
      <x:c r="B93" s="17" t="n">
        <x:v>4</x:v>
      </x:c>
      <x:c r="C93" s="17" t="str">
        <x:v>GitHub PR</x:v>
      </x:c>
      <x:c r="D93" s="17" t="str">
        <x:v>P1</x:v>
      </x:c>
      <x:c r="E93" s="17" t="str">
        <x:v>Controlled fixture</x:v>
      </x:c>
      <x:c r="F93" s="17" t="str">
        <x:v>Free/Pro</x:v>
      </x:c>
      <x:c r="G93" s="17" t="str">
        <x:v>Fixture</x:v>
      </x:c>
      <x:c r="H93" s="17" t="str">
        <x:v>PR failure recovery</x:v>
      </x:c>
      <x:c r="I93" s="17" t="str">
        <x:v>Simulate permission/branch/write/already-exists failure.</x:v>
      </x:c>
      <x:c r="J93" s="17" t="str">
        <x:v>Friendly Retry/Reconnect guidance; no duplicate/partial unsafe write.</x:v>
      </x:c>
      <x:c r="K93" s="17" t="str">
        <x:v>NOT RUN</x:v>
      </x:c>
      <x:c r="L93" s="17" t="str"/>
      <x:c r="M93" s="17" t="str"/>
      <x:c r="N93" s="17" t="str"/>
      <x:c r="O93" s="17" t="str"/>
      <x:c r="P93" s="17" t="str"/>
    </x:row>
    <x:row r="94">
      <x:c r="A94" s="17" t="str">
        <x:v>SS-093</x:v>
      </x:c>
      <x:c r="B94" s="17" t="n">
        <x:v>4</x:v>
      </x:c>
      <x:c r="C94" s="17" t="str">
        <x:v>Verification</x:v>
      </x:c>
      <x:c r="D94" s="17" t="str">
        <x:v>P1</x:v>
      </x:c>
      <x:c r="E94" s="17" t="str">
        <x:v>Production safe</x:v>
      </x:c>
      <x:c r="F94" s="17" t="str">
        <x:v>Free/Pro</x:v>
      </x:c>
      <x:c r="G94" s="17" t="str">
        <x:v>Production</x:v>
      </x:c>
      <x:c r="H94" s="17" t="str">
        <x:v>Later rescan</x:v>
      </x:c>
      <x:c r="I94" s="17" t="str">
        <x:v>Rescan after meaningful change.</x:v>
      </x:c>
      <x:c r="J94" s="17" t="str">
        <x:v>New scan linked to same project; baseline preserved.</x:v>
      </x:c>
      <x:c r="K94" s="17" t="str">
        <x:v>NOT RUN</x:v>
      </x:c>
      <x:c r="L94" s="17" t="str"/>
      <x:c r="M94" s="17" t="str"/>
      <x:c r="N94" s="17" t="str"/>
      <x:c r="O94" s="17" t="str"/>
      <x:c r="P94" s="17" t="str"/>
    </x:row>
    <x:row r="95">
      <x:c r="A95" s="17" t="str">
        <x:v>SS-094</x:v>
      </x:c>
      <x:c r="B95" s="17" t="n">
        <x:v>4</x:v>
      </x:c>
      <x:c r="C95" s="17" t="str">
        <x:v>Verification</x:v>
      </x:c>
      <x:c r="D95" s="17" t="str">
        <x:v>P1</x:v>
      </x:c>
      <x:c r="E95" s="17" t="str">
        <x:v>Production safe</x:v>
      </x:c>
      <x:c r="F95" s="17" t="str">
        <x:v>Free/Pro</x:v>
      </x:c>
      <x:c r="G95" s="17" t="str">
        <x:v>Production</x:v>
      </x:c>
      <x:c r="H95" s="17" t="str">
        <x:v>Verification relationship</x:v>
      </x:c>
      <x:c r="I95" s="17" t="str">
        <x:v>Open Verify after rescan.</x:v>
      </x:c>
      <x:c r="J95" s="17" t="str">
        <x:v>System compares supported repository evidence between scans.</x:v>
      </x:c>
      <x:c r="K95" s="17" t="str">
        <x:v>NOT RUN</x:v>
      </x:c>
      <x:c r="L95" s="17" t="str"/>
      <x:c r="M95" s="17" t="str"/>
      <x:c r="N95" s="17" t="str"/>
      <x:c r="O95" s="17" t="str"/>
      <x:c r="P95" s="17" t="str"/>
    </x:row>
    <x:row r="96">
      <x:c r="A96" s="17" t="str">
        <x:v>SS-095</x:v>
      </x:c>
      <x:c r="B96" s="17" t="n">
        <x:v>4</x:v>
      </x:c>
      <x:c r="C96" s="17" t="str">
        <x:v>Verification</x:v>
      </x:c>
      <x:c r="D96" s="17" t="str">
        <x:v>P0</x:v>
      </x:c>
      <x:c r="E96" s="17" t="str">
        <x:v>Production safe</x:v>
      </x:c>
      <x:c r="F96" s="17" t="str">
        <x:v>Free/Pro</x:v>
      </x:c>
      <x:c r="G96" s="17" t="str">
        <x:v>Production</x:v>
      </x:c>
      <x:c r="H96" s="17" t="str">
        <x:v>No false verification</x:v>
      </x:c>
      <x:c r="I96" s="17" t="str">
        <x:v>Rescan without evidence for claim.</x:v>
      </x:c>
      <x:c r="J96" s="17" t="str">
        <x:v>UI does not mark success merely because rescan occurred.</x:v>
      </x:c>
      <x:c r="K96" s="17" t="str">
        <x:v>NOT RUN</x:v>
      </x:c>
      <x:c r="L96" s="17" t="str"/>
      <x:c r="M96" s="17" t="str"/>
      <x:c r="N96" s="17" t="str"/>
      <x:c r="O96" s="17" t="str"/>
      <x:c r="P96" s="17" t="str"/>
    </x:row>
    <x:row r="97">
      <x:c r="A97" s="17" t="str">
        <x:v>SS-096</x:v>
      </x:c>
      <x:c r="B97" s="17" t="n">
        <x:v>4</x:v>
      </x:c>
      <x:c r="C97" s="17" t="str">
        <x:v>Verification</x:v>
      </x:c>
      <x:c r="D97" s="17" t="str">
        <x:v>P2</x:v>
      </x:c>
      <x:c r="E97" s="17" t="str">
        <x:v>Production safe</x:v>
      </x:c>
      <x:c r="F97" s="17" t="str">
        <x:v>Free/Pro</x:v>
      </x:c>
      <x:c r="G97" s="17" t="str">
        <x:v>Production</x:v>
      </x:c>
      <x:c r="H97" s="17" t="str">
        <x:v>Score explanation</x:v>
      </x:c>
      <x:c r="I97" s="17" t="str">
        <x:v>Inspect score/readiness change after fixes.</x:v>
      </x:c>
      <x:c r="J97" s="17" t="str">
        <x:v>Changes are explainable with concrete signals/evidence.</x:v>
      </x:c>
      <x:c r="K97" s="17" t="str">
        <x:v>NOT RUN</x:v>
      </x:c>
      <x:c r="L97" s="17" t="str"/>
      <x:c r="M97" s="17" t="str"/>
      <x:c r="N97" s="17" t="str"/>
      <x:c r="O97" s="17" t="str"/>
      <x:c r="P97" s="17" t="str"/>
    </x:row>
    <x:row r="98">
      <x:c r="A98" s="17" t="str">
        <x:v>SS-097</x:v>
      </x:c>
      <x:c r="B98" s="17" t="n">
        <x:v>5</x:v>
      </x:c>
      <x:c r="C98" s="17" t="str">
        <x:v>Billing</x:v>
      </x:c>
      <x:c r="D98" s="17" t="str">
        <x:v>P0</x:v>
      </x:c>
      <x:c r="E98" s="17" t="str">
        <x:v>Production safe</x:v>
      </x:c>
      <x:c r="F98" s="17" t="str">
        <x:v>Free</x:v>
      </x:c>
      <x:c r="G98" s="17" t="str">
        <x:v>Production</x:v>
      </x:c>
      <x:c r="H98" s="17" t="str">
        <x:v>Free entitlement</x:v>
      </x:c>
      <x:c r="I98" s="17" t="str">
        <x:v>Open account + scan.</x:v>
      </x:c>
      <x:c r="J98" s="17" t="str">
        <x:v>Deterministic scan/Universe work; no funded Futures allowance.</x:v>
      </x:c>
      <x:c r="K98" s="17" t="str">
        <x:v>NOT RUN</x:v>
      </x:c>
      <x:c r="L98" s="17" t="str"/>
      <x:c r="M98" s="17" t="str"/>
      <x:c r="N98" s="17" t="str"/>
      <x:c r="O98" s="17" t="str"/>
      <x:c r="P98" s="17" t="str"/>
    </x:row>
    <x:row r="99">
      <x:c r="A99" s="17" t="str">
        <x:v>SS-098</x:v>
      </x:c>
      <x:c r="B99" s="17" t="n">
        <x:v>5</x:v>
      </x:c>
      <x:c r="C99" s="17" t="str">
        <x:v>Billing</x:v>
      </x:c>
      <x:c r="D99" s="17" t="str">
        <x:v>P1</x:v>
      </x:c>
      <x:c r="E99" s="17" t="str">
        <x:v>Production safe</x:v>
      </x:c>
      <x:c r="F99" s="17" t="str">
        <x:v>Free</x:v>
      </x:c>
      <x:c r="G99" s="17" t="str">
        <x:v>Production</x:v>
      </x:c>
      <x:c r="H99" s="17" t="str">
        <x:v>Natural upgrade path</x:v>
      </x:c>
      <x:c r="I99" s="17" t="str">
        <x:v>Open Futures/paywall.</x:v>
      </x:c>
      <x:c r="J99" s="17" t="str">
        <x:v>Upgrade to Pro is clear and preserves project context.</x:v>
      </x:c>
      <x:c r="K99" s="17" t="str">
        <x:v>NOT RUN</x:v>
      </x:c>
      <x:c r="L99" s="17" t="str"/>
      <x:c r="M99" s="17" t="str"/>
      <x:c r="N99" s="17" t="str"/>
      <x:c r="O99" s="17" t="str"/>
      <x:c r="P99" s="17" t="str"/>
    </x:row>
    <x:row r="100">
      <x:c r="A100" s="17" t="str">
        <x:v>SS-099</x:v>
      </x:c>
      <x:c r="B100" s="17" t="n">
        <x:v>5</x:v>
      </x:c>
      <x:c r="C100" s="17" t="str">
        <x:v>Stripe</x:v>
      </x:c>
      <x:c r="D100" s="17" t="str">
        <x:v>P0</x:v>
      </x:c>
      <x:c r="E100" s="17" t="str">
        <x:v>Controlled Stripe</x:v>
      </x:c>
      <x:c r="F100" s="17" t="str">
        <x:v>Free</x:v>
      </x:c>
      <x:c r="G100" s="17" t="str">
        <x:v>Production/Test</x:v>
      </x:c>
      <x:c r="H100" s="17" t="str">
        <x:v>Checkout creation</x:v>
      </x:c>
      <x:c r="I100" s="17" t="str">
        <x:v>Start checkout from ShipSeal.</x:v>
      </x:c>
      <x:c r="J100" s="17" t="str">
        <x:v>One Stripe Checkout session; correct recurring Pro product.</x:v>
      </x:c>
      <x:c r="K100" s="17" t="str">
        <x:v>NOT RUN</x:v>
      </x:c>
      <x:c r="L100" s="17" t="str"/>
      <x:c r="M100" s="17" t="str"/>
      <x:c r="N100" s="17" t="str"/>
      <x:c r="O100" s="17" t="str"/>
      <x:c r="P100" s="17" t="str"/>
    </x:row>
    <x:row r="101">
      <x:c r="A101" s="17" t="str">
        <x:v>SS-100</x:v>
      </x:c>
      <x:c r="B101" s="17" t="n">
        <x:v>5</x:v>
      </x:c>
      <x:c r="C101" s="17" t="str">
        <x:v>Stripe</x:v>
      </x:c>
      <x:c r="D101" s="17" t="str">
        <x:v>P0</x:v>
      </x:c>
      <x:c r="E101" s="17" t="str">
        <x:v>Controlled Stripe</x:v>
      </x:c>
      <x:c r="F101" s="17" t="str">
        <x:v>Free</x:v>
      </x:c>
      <x:c r="G101" s="17" t="str">
        <x:v>Production/Test</x:v>
      </x:c>
      <x:c r="H101" s="17" t="str">
        <x:v>Redirect non-authoritative</x:v>
      </x:c>
      <x:c r="I101" s="17" t="str">
        <x:v>Return from successful checkout before/without webhook state.</x:v>
      </x:c>
      <x:c r="J101" s="17" t="str">
        <x:v>Redirect alone does not grant entitlement.</x:v>
      </x:c>
      <x:c r="K101" s="17" t="str">
        <x:v>NOT RUN</x:v>
      </x:c>
      <x:c r="L101" s="17" t="str"/>
      <x:c r="M101" s="17" t="str"/>
      <x:c r="N101" s="17" t="str"/>
      <x:c r="O101" s="17" t="str"/>
      <x:c r="P101" s="17" t="str"/>
    </x:row>
    <x:row r="102">
      <x:c r="A102" s="17" t="str">
        <x:v>SS-101</x:v>
      </x:c>
      <x:c r="B102" s="17" t="n">
        <x:v>5</x:v>
      </x:c>
      <x:c r="C102" s="17" t="str">
        <x:v>Stripe</x:v>
      </x:c>
      <x:c r="D102" s="17" t="str">
        <x:v>P0</x:v>
      </x:c>
      <x:c r="E102" s="17" t="str">
        <x:v>Controlled Stripe</x:v>
      </x:c>
      <x:c r="F102" s="17" t="str">
        <x:v>Free</x:v>
      </x:c>
      <x:c r="G102" s="17" t="str">
        <x:v>Production/Test</x:v>
      </x:c>
      <x:c r="H102" s="17" t="str">
        <x:v>Webhook activation</x:v>
      </x:c>
      <x:c r="I102" s="17" t="str">
        <x:v>Complete verified Stripe webhook.</x:v>
      </x:c>
      <x:c r="J102" s="17" t="str">
        <x:v>Server entitlement becomes Pro.</x:v>
      </x:c>
      <x:c r="K102" s="17" t="str">
        <x:v>NOT RUN</x:v>
      </x:c>
      <x:c r="L102" s="17" t="str"/>
      <x:c r="M102" s="17" t="str"/>
      <x:c r="N102" s="17" t="str"/>
      <x:c r="O102" s="17" t="str"/>
      <x:c r="P102" s="17" t="str"/>
    </x:row>
    <x:row r="103">
      <x:c r="A103" s="17" t="str">
        <x:v>SS-102</x:v>
      </x:c>
      <x:c r="B103" s="17" t="n">
        <x:v>5</x:v>
      </x:c>
      <x:c r="C103" s="17" t="str">
        <x:v>Stripe</x:v>
      </x:c>
      <x:c r="D103" s="17" t="str">
        <x:v>P1</x:v>
      </x:c>
      <x:c r="E103" s="17" t="str">
        <x:v>Controlled Stripe</x:v>
      </x:c>
      <x:c r="F103" s="17" t="str">
        <x:v>Pro</x:v>
      </x:c>
      <x:c r="G103" s="17" t="str">
        <x:v>Production/Test</x:v>
      </x:c>
      <x:c r="H103" s="17" t="str">
        <x:v>Customer Portal</x:v>
      </x:c>
      <x:c r="I103" s="17" t="str">
        <x:v>Open Manage subscription.</x:v>
      </x:c>
      <x:c r="J103" s="17" t="str">
        <x:v>Portal opens and returns to canonical ShipSeal origin.</x:v>
      </x:c>
      <x:c r="K103" s="17" t="str">
        <x:v>NOT RUN</x:v>
      </x:c>
      <x:c r="L103" s="17" t="str"/>
      <x:c r="M103" s="17" t="str"/>
      <x:c r="N103" s="17" t="str"/>
      <x:c r="O103" s="17" t="str"/>
      <x:c r="P103" s="17" t="str"/>
    </x:row>
    <x:row r="104">
      <x:c r="A104" s="17" t="str">
        <x:v>SS-103</x:v>
      </x:c>
      <x:c r="B104" s="17" t="n">
        <x:v>5</x:v>
      </x:c>
      <x:c r="C104" s="17" t="str">
        <x:v>Stripe</x:v>
      </x:c>
      <x:c r="D104" s="17" t="str">
        <x:v>P0</x:v>
      </x:c>
      <x:c r="E104" s="17" t="str">
        <x:v>Controlled fixture</x:v>
      </x:c>
      <x:c r="F104" s="17" t="str">
        <x:v>Pro</x:v>
      </x:c>
      <x:c r="G104" s="17" t="str">
        <x:v>Fixture</x:v>
      </x:c>
      <x:c r="H104" s="17" t="str">
        <x:v>Cancel at period end</x:v>
      </x:c>
      <x:c r="I104" s="17" t="str">
        <x:v>Set cancel_at_period_end.</x:v>
      </x:c>
      <x:c r="J104" s="17" t="str">
        <x:v>Pro remains active until paid period end; UI explains state.</x:v>
      </x:c>
      <x:c r="K104" s="17" t="str">
        <x:v>NOT RUN</x:v>
      </x:c>
      <x:c r="L104" s="17" t="str"/>
      <x:c r="M104" s="17" t="str"/>
      <x:c r="N104" s="17" t="str"/>
      <x:c r="O104" s="17" t="str"/>
      <x:c r="P104" s="17" t="str"/>
    </x:row>
    <x:row r="105">
      <x:c r="A105" s="17" t="str">
        <x:v>SS-104</x:v>
      </x:c>
      <x:c r="B105" s="17" t="n">
        <x:v>5</x:v>
      </x:c>
      <x:c r="C105" s="17" t="str">
        <x:v>Stripe</x:v>
      </x:c>
      <x:c r="D105" s="17" t="str">
        <x:v>P0</x:v>
      </x:c>
      <x:c r="E105" s="17" t="str">
        <x:v>Controlled fixture</x:v>
      </x:c>
      <x:c r="F105" s="17" t="str">
        <x:v>Pro</x:v>
      </x:c>
      <x:c r="G105" s="17" t="str">
        <x:v>Fixture</x:v>
      </x:c>
      <x:c r="H105" s="17" t="str">
        <x:v>past_due</x:v>
      </x:c>
      <x:c r="I105" s="17" t="str">
        <x:v>Apply past_due fixture.</x:v>
      </x:c>
      <x:c r="J105" s="17" t="str">
        <x:v>Saved data readable; new paid provider authorization blocked per policy.</x:v>
      </x:c>
      <x:c r="K105" s="17" t="str">
        <x:v>NOT RUN</x:v>
      </x:c>
      <x:c r="L105" s="17" t="str"/>
      <x:c r="M105" s="17" t="str"/>
      <x:c r="N105" s="17" t="str"/>
      <x:c r="O105" s="17" t="str"/>
      <x:c r="P105" s="17" t="str"/>
    </x:row>
    <x:row r="106">
      <x:c r="A106" s="17" t="str">
        <x:v>SS-105</x:v>
      </x:c>
      <x:c r="B106" s="17" t="n">
        <x:v>5</x:v>
      </x:c>
      <x:c r="C106" s="17" t="str">
        <x:v>Stripe</x:v>
      </x:c>
      <x:c r="D106" s="17" t="str">
        <x:v>P0</x:v>
      </x:c>
      <x:c r="E106" s="17" t="str">
        <x:v>Controlled fixture</x:v>
      </x:c>
      <x:c r="F106" s="17" t="str">
        <x:v>Pro</x:v>
      </x:c>
      <x:c r="G106" s="17" t="str">
        <x:v>Fixture</x:v>
      </x:c>
      <x:c r="H106" s="17" t="str">
        <x:v>unpaid/inactive</x:v>
      </x:c>
      <x:c r="I106" s="17" t="str">
        <x:v>Apply unpaid fixture.</x:v>
      </x:c>
      <x:c r="J106" s="17" t="str">
        <x:v>Paid entitlement disabled; saved results remain readable.</x:v>
      </x:c>
      <x:c r="K106" s="17" t="str">
        <x:v>NOT RUN</x:v>
      </x:c>
      <x:c r="L106" s="17" t="str"/>
      <x:c r="M106" s="17" t="str"/>
      <x:c r="N106" s="17" t="str"/>
      <x:c r="O106" s="17" t="str"/>
      <x:c r="P106" s="17" t="str"/>
    </x:row>
    <x:row r="107">
      <x:c r="A107" s="17" t="str">
        <x:v>SS-106</x:v>
      </x:c>
      <x:c r="B107" s="17" t="n">
        <x:v>5</x:v>
      </x:c>
      <x:c r="C107" s="17" t="str">
        <x:v>Billing</x:v>
      </x:c>
      <x:c r="D107" s="17" t="str">
        <x:v>P0</x:v>
      </x:c>
      <x:c r="E107" s="17" t="str">
        <x:v>Production/fixture</x:v>
      </x:c>
      <x:c r="F107" s="17" t="str">
        <x:v>Pro</x:v>
      </x:c>
      <x:c r="G107" s="17" t="str">
        <x:v>Production/Fixture</x:v>
      </x:c>
      <x:c r="H107" s="17" t="str">
        <x:v>Account totals consistency</x:v>
      </x:c>
      <x:c r="I107" s="17" t="str">
        <x:v>Compare Account vs Admin after operations.</x:v>
      </x:c>
      <x:c r="J107" s="17" t="str">
        <x:v>Used, held/in-progress, remaining and refunds agree.</x:v>
      </x:c>
      <x:c r="K107" s="17" t="str">
        <x:v>NOT RUN</x:v>
      </x:c>
      <x:c r="L107" s="17" t="str"/>
      <x:c r="M107" s="17" t="str"/>
      <x:c r="N107" s="17" t="str"/>
      <x:c r="O107" s="17" t="str"/>
      <x:c r="P107" s="17" t="str"/>
    </x:row>
    <x:row r="108">
      <x:c r="A108" s="17" t="str">
        <x:v>SS-107</x:v>
      </x:c>
      <x:c r="B108" s="17" t="n">
        <x:v>5</x:v>
      </x:c>
      <x:c r="C108" s="17" t="str">
        <x:v>Billing</x:v>
      </x:c>
      <x:c r="D108" s="17" t="str">
        <x:v>P0</x:v>
      </x:c>
      <x:c r="E108" s="17" t="str">
        <x:v>Controlled fixture</x:v>
      </x:c>
      <x:c r="F108" s="17" t="str">
        <x:v>Pro</x:v>
      </x:c>
      <x:c r="G108" s="17" t="str">
        <x:v>Fixture</x:v>
      </x:c>
      <x:c r="H108" s="17" t="str">
        <x:v>Success consumes once</x:v>
      </x:c>
      <x:c r="I108" s="17" t="str">
        <x:v>Complete one Future successfully.</x:v>
      </x:c>
      <x:c r="J108" s="17" t="str">
        <x:v>Exactly one unit consumed; no double charge on retries/reopen.</x:v>
      </x:c>
      <x:c r="K108" s="17" t="str">
        <x:v>NOT RUN</x:v>
      </x:c>
      <x:c r="L108" s="17" t="str"/>
      <x:c r="M108" s="17" t="str"/>
      <x:c r="N108" s="17" t="str"/>
      <x:c r="O108" s="17" t="str"/>
      <x:c r="P108" s="17" t="str"/>
    </x:row>
    <x:row r="109">
      <x:c r="A109" s="17" t="str">
        <x:v>SS-108</x:v>
      </x:c>
      <x:c r="B109" s="17" t="n">
        <x:v>5</x:v>
      </x:c>
      <x:c r="C109" s="17" t="str">
        <x:v>Billing</x:v>
      </x:c>
      <x:c r="D109" s="17" t="str">
        <x:v>P0</x:v>
      </x:c>
      <x:c r="E109" s="17" t="str">
        <x:v>Controlled fixture</x:v>
      </x:c>
      <x:c r="F109" s="17" t="str">
        <x:v>Pro</x:v>
      </x:c>
      <x:c r="G109" s="17" t="str">
        <x:v>Fixture</x:v>
      </x:c>
      <x:c r="H109" s="17" t="str">
        <x:v>Failure consumes zero</x:v>
      </x:c>
      <x:c r="I109" s="17" t="str">
        <x:v>Fail Future before durable result.</x:v>
      </x:c>
      <x:c r="J109" s="17" t="str">
        <x:v>No consumed unit; held/released/refunded state correct.</x:v>
      </x:c>
      <x:c r="K109" s="17" t="str">
        <x:v>NOT RUN</x:v>
      </x:c>
      <x:c r="L109" s="17" t="str"/>
      <x:c r="M109" s="17" t="str"/>
      <x:c r="N109" s="17" t="str"/>
      <x:c r="O109" s="17" t="str"/>
      <x:c r="P109" s="17" t="str"/>
    </x:row>
    <x:row r="110">
      <x:c r="A110" s="17" t="str">
        <x:v>SS-109</x:v>
      </x:c>
      <x:c r="B110" s="17" t="n">
        <x:v>5</x:v>
      </x:c>
      <x:c r="C110" s="17" t="str">
        <x:v>Billing</x:v>
      </x:c>
      <x:c r="D110" s="17" t="str">
        <x:v>P0</x:v>
      </x:c>
      <x:c r="E110" s="17" t="str">
        <x:v>Controlled fixture</x:v>
      </x:c>
      <x:c r="F110" s="17" t="str">
        <x:v>Pro</x:v>
      </x:c>
      <x:c r="G110" s="17" t="str">
        <x:v>Fixture</x:v>
      </x:c>
      <x:c r="H110" s="17" t="str">
        <x:v>Idempotent duplicate request</x:v>
      </x:c>
      <x:c r="I110" s="17" t="str">
        <x:v>Repeat same logical operation/request safely.</x:v>
      </x:c>
      <x:c r="J110" s="17" t="str">
        <x:v>No duplicate reservation or consumption.</x:v>
      </x:c>
      <x:c r="K110" s="17" t="str">
        <x:v>NOT RUN</x:v>
      </x:c>
      <x:c r="L110" s="17" t="str"/>
      <x:c r="M110" s="17" t="str"/>
      <x:c r="N110" s="17" t="str"/>
      <x:c r="O110" s="17" t="str"/>
      <x:c r="P110" s="17" t="str"/>
    </x:row>
    <x:row r="111">
      <x:c r="A111" s="17" t="str">
        <x:v>SS-110</x:v>
      </x:c>
      <x:c r="B111" s="17" t="n">
        <x:v>5</x:v>
      </x:c>
      <x:c r="C111" s="17" t="str">
        <x:v>Billing</x:v>
      </x:c>
      <x:c r="D111" s="17" t="str">
        <x:v>P1</x:v>
      </x:c>
      <x:c r="E111" s="17" t="str">
        <x:v>Production safe</x:v>
      </x:c>
      <x:c r="F111" s="17" t="str">
        <x:v>Pro</x:v>
      </x:c>
      <x:c r="G111" s="17" t="str">
        <x:v>Production</x:v>
      </x:c>
      <x:c r="H111" s="17" t="str">
        <x:v>Usage copy</x:v>
      </x:c>
      <x:c r="I111" s="17" t="str">
        <x:v>Inspect Account usage card.</x:v>
      </x:c>
      <x:c r="J111" s="17" t="str">
        <x:v>Used vs held units are clearly distinguished.</x:v>
      </x:c>
      <x:c r="K111" s="17" t="str">
        <x:v>NOT RUN</x:v>
      </x:c>
      <x:c r="L111" s="17" t="str"/>
      <x:c r="M111" s="17" t="str"/>
      <x:c r="N111" s="17" t="str"/>
      <x:c r="O111" s="17" t="str"/>
      <x:c r="P111" s="17" t="str"/>
    </x:row>
    <x:row r="112">
      <x:c r="A112" s="17" t="str">
        <x:v>SS-111</x:v>
      </x:c>
      <x:c r="B112" s="17" t="n">
        <x:v>5</x:v>
      </x:c>
      <x:c r="C112" s="17" t="str">
        <x:v>Account</x:v>
      </x:c>
      <x:c r="D112" s="17" t="str">
        <x:v>P0</x:v>
      </x:c>
      <x:c r="E112" s="17" t="str">
        <x:v>Production safe</x:v>
      </x:c>
      <x:c r="F112" s="17" t="str">
        <x:v>Pro</x:v>
      </x:c>
      <x:c r="G112" s="17" t="str">
        <x:v>Production</x:v>
      </x:c>
      <x:c r="H112" s="17" t="str">
        <x:v>Account deletion warning</x:v>
      </x:c>
      <x:c r="I112" s="17" t="str">
        <x:v>Open account deletion flow; do not delete valuable account.</x:v>
      </x:c>
      <x:c r="J112" s="17" t="str">
        <x:v>Active subscription cancellation boundary is clearly explained.</x:v>
      </x:c>
      <x:c r="K112" s="17" t="str">
        <x:v>NOT RUN</x:v>
      </x:c>
      <x:c r="L112" s="17" t="str"/>
      <x:c r="M112" s="17" t="str"/>
      <x:c r="N112" s="17" t="str"/>
      <x:c r="O112" s="17" t="str"/>
      <x:c r="P112" s="17" t="str"/>
    </x:row>
    <x:row r="113">
      <x:c r="A113" s="17" t="str">
        <x:v>SS-112</x:v>
      </x:c>
      <x:c r="B113" s="17" t="n">
        <x:v>5</x:v>
      </x:c>
      <x:c r="C113" s="17" t="str">
        <x:v>Payments</x:v>
      </x:c>
      <x:c r="D113" s="17" t="str">
        <x:v>P0</x:v>
      </x:c>
      <x:c r="E113" s="17" t="str">
        <x:v>Review</x:v>
      </x:c>
      <x:c r="F113" s="17" t="str">
        <x:v>Admin</x:v>
      </x:c>
      <x:c r="G113" s="17" t="str">
        <x:v>Production</x:v>
      </x:c>
      <x:c r="H113" s="17" t="str">
        <x:v>Card data boundary</x:v>
      </x:c>
      <x:c r="I113" s="17" t="str">
        <x:v>Review UI/server behavior.</x:v>
      </x:c>
      <x:c r="J113" s="17" t="str">
        <x:v>ShipSeal does not store/display raw card data; Stripe handles payment information.</x:v>
      </x:c>
      <x:c r="K113" s="17" t="str">
        <x:v>NOT RUN</x:v>
      </x:c>
      <x:c r="L113" s="17" t="str"/>
      <x:c r="M113" s="17" t="str"/>
      <x:c r="N113" s="17" t="str"/>
      <x:c r="O113" s="17" t="str"/>
      <x:c r="P113" s="17" t="str"/>
    </x:row>
    <x:row r="114">
      <x:c r="A114" s="17" t="str">
        <x:v>SS-113</x:v>
      </x:c>
      <x:c r="B114" s="17" t="n">
        <x:v>6</x:v>
      </x:c>
      <x:c r="C114" s="17" t="str">
        <x:v>Trust</x:v>
      </x:c>
      <x:c r="D114" s="17" t="str">
        <x:v>P1</x:v>
      </x:c>
      <x:c r="E114" s="17" t="str">
        <x:v>Production safe</x:v>
      </x:c>
      <x:c r="F114" s="17" t="str">
        <x:v>Anonymous</x:v>
      </x:c>
      <x:c r="G114" s="17" t="str">
        <x:v>Production</x:v>
      </x:c>
      <x:c r="H114" s="17" t="str">
        <x:v>Privacy route</x:v>
      </x:c>
      <x:c r="I114" s="17" t="str">
        <x:v>Open /privacy direct + refresh.</x:v>
      </x:c>
      <x:c r="J114" s="17" t="str">
        <x:v>Readable, mobile-safe, current data flow disclosure.</x:v>
      </x:c>
      <x:c r="K114" s="17" t="str">
        <x:v>NOT RUN</x:v>
      </x:c>
      <x:c r="L114" s="17" t="str"/>
      <x:c r="M114" s="17" t="str"/>
      <x:c r="N114" s="17" t="str"/>
      <x:c r="O114" s="17" t="str"/>
      <x:c r="P114" s="17" t="str"/>
    </x:row>
    <x:row r="115">
      <x:c r="A115" s="17" t="str">
        <x:v>SS-114</x:v>
      </x:c>
      <x:c r="B115" s="17" t="n">
        <x:v>6</x:v>
      </x:c>
      <x:c r="C115" s="17" t="str">
        <x:v>Trust</x:v>
      </x:c>
      <x:c r="D115" s="17" t="str">
        <x:v>P1</x:v>
      </x:c>
      <x:c r="E115" s="17" t="str">
        <x:v>Production safe</x:v>
      </x:c>
      <x:c r="F115" s="17" t="str">
        <x:v>Anonymous</x:v>
      </x:c>
      <x:c r="G115" s="17" t="str">
        <x:v>Production</x:v>
      </x:c>
      <x:c r="H115" s="17" t="str">
        <x:v>Terms route</x:v>
      </x:c>
      <x:c r="I115" s="17" t="str">
        <x:v>Open /terms direct + refresh.</x:v>
      </x:c>
      <x:c r="J115" s="17" t="str">
        <x:v>Readable and production route works.</x:v>
      </x:c>
      <x:c r="K115" s="17" t="str">
        <x:v>NOT RUN</x:v>
      </x:c>
      <x:c r="L115" s="17" t="str"/>
      <x:c r="M115" s="17" t="str"/>
      <x:c r="N115" s="17" t="str"/>
      <x:c r="O115" s="17" t="str"/>
      <x:c r="P115" s="17" t="str"/>
    </x:row>
    <x:row r="116">
      <x:c r="A116" s="17" t="str">
        <x:v>SS-115</x:v>
      </x:c>
      <x:c r="B116" s="17" t="n">
        <x:v>6</x:v>
      </x:c>
      <x:c r="C116" s="17" t="str">
        <x:v>Trust</x:v>
      </x:c>
      <x:c r="D116" s="17" t="str">
        <x:v>P1</x:v>
      </x:c>
      <x:c r="E116" s="17" t="str">
        <x:v>Production safe</x:v>
      </x:c>
      <x:c r="F116" s="17" t="str">
        <x:v>Anonymous</x:v>
      </x:c>
      <x:c r="G116" s="17" t="str">
        <x:v>Production</x:v>
      </x:c>
      <x:c r="H116" s="17" t="str">
        <x:v>Security route</x:v>
      </x:c>
      <x:c r="I116" s="17" t="str">
        <x:v>Open /security direct + refresh.</x:v>
      </x:c>
      <x:c r="J116" s="17" t="str">
        <x:v>Only implemented security claims are made.</x:v>
      </x:c>
      <x:c r="K116" s="17" t="str">
        <x:v>NOT RUN</x:v>
      </x:c>
      <x:c r="L116" s="17" t="str"/>
      <x:c r="M116" s="17" t="str"/>
      <x:c r="N116" s="17" t="str"/>
      <x:c r="O116" s="17" t="str"/>
      <x:c r="P116" s="17" t="str"/>
    </x:row>
    <x:row r="117">
      <x:c r="A117" s="17" t="str">
        <x:v>SS-116</x:v>
      </x:c>
      <x:c r="B117" s="17" t="n">
        <x:v>6</x:v>
      </x:c>
      <x:c r="C117" s="17" t="str">
        <x:v>Trust</x:v>
      </x:c>
      <x:c r="D117" s="17" t="str">
        <x:v>P1</x:v>
      </x:c>
      <x:c r="E117" s="17" t="str">
        <x:v>Production safe</x:v>
      </x:c>
      <x:c r="F117" s="17" t="str">
        <x:v>Anonymous</x:v>
      </x:c>
      <x:c r="G117" s="17" t="str">
        <x:v>Production</x:v>
      </x:c>
      <x:c r="H117" s="17" t="str">
        <x:v>GitHub permissions explanation</x:v>
      </x:c>
      <x:c r="I117" s="17" t="str">
        <x:v>Open trust/GitHub permissions surface.</x:v>
      </x:c>
      <x:c r="J117" s="17" t="str">
        <x:v>Requested permissions and write boundary are understandable.</x:v>
      </x:c>
      <x:c r="K117" s="17" t="str">
        <x:v>NOT RUN</x:v>
      </x:c>
      <x:c r="L117" s="17" t="str"/>
      <x:c r="M117" s="17" t="str"/>
      <x:c r="N117" s="17" t="str"/>
      <x:c r="O117" s="17" t="str"/>
      <x:c r="P117" s="17" t="str"/>
    </x:row>
    <x:row r="118">
      <x:c r="A118" s="17" t="str">
        <x:v>SS-117</x:v>
      </x:c>
      <x:c r="B118" s="17" t="n">
        <x:v>6</x:v>
      </x:c>
      <x:c r="C118" s="17" t="str">
        <x:v>Trust</x:v>
      </x:c>
      <x:c r="D118" s="17" t="str">
        <x:v>P0</x:v>
      </x:c>
      <x:c r="E118" s="17" t="str">
        <x:v>Review</x:v>
      </x:c>
      <x:c r="F118" s="17" t="str">
        <x:v>Anonymous</x:v>
      </x:c>
      <x:c r="G118" s="17" t="str">
        <x:v>Production</x:v>
      </x:c>
      <x:c r="H118" s="17" t="str">
        <x:v>AI processing disclosure</x:v>
      </x:c>
      <x:c r="I118" s="17" t="str">
        <x:v>Inspect Deep Analysis action/trust copy.</x:v>
      </x:c>
      <x:c r="J118" s="17" t="str">
        <x:v>Explicit AI action; selected bounded evidence may be sent; redaction not overstated.</x:v>
      </x:c>
      <x:c r="K118" s="17" t="str">
        <x:v>NOT RUN</x:v>
      </x:c>
      <x:c r="L118" s="17" t="str"/>
      <x:c r="M118" s="17" t="str"/>
      <x:c r="N118" s="17" t="str"/>
      <x:c r="O118" s="17" t="str"/>
      <x:c r="P118" s="17" t="str"/>
    </x:row>
    <x:row r="119">
      <x:c r="A119" s="17" t="str">
        <x:v>SS-118</x:v>
      </x:c>
      <x:c r="B119" s="17" t="n">
        <x:v>6</x:v>
      </x:c>
      <x:c r="C119" s="17" t="str">
        <x:v>Trust</x:v>
      </x:c>
      <x:c r="D119" s="17" t="str">
        <x:v>P0</x:v>
      </x:c>
      <x:c r="E119" s="17" t="str">
        <x:v>Review</x:v>
      </x:c>
      <x:c r="F119" s="17" t="str">
        <x:v>Anonymous</x:v>
      </x:c>
      <x:c r="G119" s="17" t="str">
        <x:v>Production</x:v>
      </x:c>
      <x:c r="H119" s="17" t="str">
        <x:v>Static analysis claim</x:v>
      </x:c>
      <x:c r="I119" s="17" t="str">
        <x:v>Inspect trust copy vs implementation.</x:v>
      </x:c>
      <x:c r="J119" s="17" t="str">
        <x:v>Correctly states imported repository code is not executed.</x:v>
      </x:c>
      <x:c r="K119" s="17" t="str">
        <x:v>NOT RUN</x:v>
      </x:c>
      <x:c r="L119" s="17" t="str"/>
      <x:c r="M119" s="17" t="str"/>
      <x:c r="N119" s="17" t="str"/>
      <x:c r="O119" s="17" t="str"/>
      <x:c r="P119" s="17" t="str"/>
    </x:row>
    <x:row r="120">
      <x:c r="A120" s="17" t="str">
        <x:v>SS-119</x:v>
      </x:c>
      <x:c r="B120" s="17" t="n">
        <x:v>6</x:v>
      </x:c>
      <x:c r="C120" s="17" t="str">
        <x:v>Trust</x:v>
      </x:c>
      <x:c r="D120" s="17" t="str">
        <x:v>P1</x:v>
      </x:c>
      <x:c r="E120" s="17" t="str">
        <x:v>Review</x:v>
      </x:c>
      <x:c r="F120" s="17" t="str">
        <x:v>Anonymous</x:v>
      </x:c>
      <x:c r="G120" s="17" t="str">
        <x:v>Production</x:v>
      </x:c>
      <x:c r="H120" s="17" t="str">
        <x:v>ZIP privacy wording</x:v>
      </x:c>
      <x:c r="I120" s="17" t="str">
        <x:v>Inspect ZIP disclosure.</x:v>
      </x:c>
      <x:c r="J120" s="17" t="str">
        <x:v>Does not falsely claim ZIP-derived evidence can never leave browser when Deep Analysis is used.</x:v>
      </x:c>
      <x:c r="K120" s="17" t="str">
        <x:v>NOT RUN</x:v>
      </x:c>
      <x:c r="L120" s="17" t="str"/>
      <x:c r="M120" s="17" t="str"/>
      <x:c r="N120" s="17" t="str"/>
      <x:c r="O120" s="17" t="str"/>
      <x:c r="P120" s="17" t="str"/>
    </x:row>
    <x:row r="121">
      <x:c r="A121" s="17" t="str">
        <x:v>SS-120</x:v>
      </x:c>
      <x:c r="B121" s="17" t="n">
        <x:v>6</x:v>
      </x:c>
      <x:c r="C121" s="17" t="str">
        <x:v>Trust</x:v>
      </x:c>
      <x:c r="D121" s="17" t="str">
        <x:v>P1</x:v>
      </x:c>
      <x:c r="E121" s="17" t="str">
        <x:v>Review</x:v>
      </x:c>
      <x:c r="F121" s="17" t="str">
        <x:v>Pro</x:v>
      </x:c>
      <x:c r="G121" s="17" t="str">
        <x:v>Production</x:v>
      </x:c>
      <x:c r="H121" s="17" t="str">
        <x:v>Account deletion disclosure</x:v>
      </x:c>
      <x:c r="I121" s="17" t="str">
        <x:v>Inspect deletion/help copy.</x:v>
      </x:c>
      <x:c r="J121" s="17" t="str">
        <x:v>Explains ShipSeal vs GitHub vs Stripe deletion/cancellation boundaries.</x:v>
      </x:c>
      <x:c r="K121" s="17" t="str">
        <x:v>NOT RUN</x:v>
      </x:c>
      <x:c r="L121" s="17" t="str"/>
      <x:c r="M121" s="17" t="str"/>
      <x:c r="N121" s="17" t="str"/>
      <x:c r="O121" s="17" t="str"/>
      <x:c r="P121" s="17" t="str"/>
    </x:row>
    <x:row r="122">
      <x:c r="A122" s="17" t="str">
        <x:v>SS-121</x:v>
      </x:c>
      <x:c r="B122" s="17" t="n">
        <x:v>6</x:v>
      </x:c>
      <x:c r="C122" s="17" t="str">
        <x:v>Trust</x:v>
      </x:c>
      <x:c r="D122" s="17" t="str">
        <x:v>P1</x:v>
      </x:c>
      <x:c r="E122" s="17" t="str">
        <x:v>Review</x:v>
      </x:c>
      <x:c r="F122" s="17" t="str">
        <x:v>Anonymous</x:v>
      </x:c>
      <x:c r="G122" s="17" t="str">
        <x:v>Production</x:v>
      </x:c>
      <x:c r="H122" s="17" t="str">
        <x:v>Unsupported claims scan</x:v>
      </x:c>
      <x:c r="I122" s="17" t="str">
        <x:v>Search customer-facing trust copy.</x:v>
      </x:c>
      <x:c r="J122" s="17" t="str">
        <x:v>No unsupported SOC2/ISO/E2E/zero-retention/no-AI-data claims.</x:v>
      </x:c>
      <x:c r="K122" s="17" t="str">
        <x:v>NOT RUN</x:v>
      </x:c>
      <x:c r="L122" s="17" t="str"/>
      <x:c r="M122" s="17" t="str"/>
      <x:c r="N122" s="17" t="str"/>
      <x:c r="O122" s="17" t="str"/>
      <x:c r="P122" s="17" t="str"/>
    </x:row>
    <x:row r="123">
      <x:c r="A123" s="17" t="str">
        <x:v>SS-122</x:v>
      </x:c>
      <x:c r="B123" s="17" t="n">
        <x:v>6</x:v>
      </x:c>
      <x:c r="C123" s="17" t="str">
        <x:v>Admin</x:v>
      </x:c>
      <x:c r="D123" s="17" t="str">
        <x:v>P0</x:v>
      </x:c>
      <x:c r="E123" s="17" t="str">
        <x:v>Production safe</x:v>
      </x:c>
      <x:c r="F123" s="17" t="str">
        <x:v>Admin</x:v>
      </x:c>
      <x:c r="G123" s="17" t="str">
        <x:v>Production</x:v>
      </x:c>
      <x:c r="H123" s="17" t="str">
        <x:v>Admin authorization</x:v>
      </x:c>
      <x:c r="I123" s="17" t="str">
        <x:v>Open /admin and /api/admin.</x:v>
      </x:c>
      <x:c r="J123" s="17" t="str">
        <x:v>Allowlisted admin receives operations data.</x:v>
      </x:c>
      <x:c r="K123" s="17" t="str">
        <x:v>NOT RUN</x:v>
      </x:c>
      <x:c r="L123" s="17" t="str"/>
      <x:c r="M123" s="17" t="str"/>
      <x:c r="N123" s="17" t="str"/>
      <x:c r="O123" s="17" t="str"/>
      <x:c r="P123" s="17" t="str"/>
    </x:row>
    <x:row r="124">
      <x:c r="A124" s="17" t="str">
        <x:v>SS-123</x:v>
      </x:c>
      <x:c r="B124" s="17" t="n">
        <x:v>6</x:v>
      </x:c>
      <x:c r="C124" s="17" t="str">
        <x:v>Admin</x:v>
      </x:c>
      <x:c r="D124" s="17" t="str">
        <x:v>P0</x:v>
      </x:c>
      <x:c r="E124" s="17" t="str">
        <x:v>Controlled auth</x:v>
      </x:c>
      <x:c r="F124" s="17" t="str">
        <x:v>Non-admin/Anonymous</x:v>
      </x:c>
      <x:c r="G124" s="17" t="str">
        <x:v>Production/Fixture</x:v>
      </x:c>
      <x:c r="H124" s="17" t="str">
        <x:v>Admin isolation</x:v>
      </x:c>
      <x:c r="I124" s="17" t="str">
        <x:v>Open /admin and /api/admin.</x:v>
      </x:c>
      <x:c r="J124" s="17" t="str">
        <x:v>Safe denial/404; no partial operational data.</x:v>
      </x:c>
      <x:c r="K124" s="17" t="str">
        <x:v>NOT RUN</x:v>
      </x:c>
      <x:c r="L124" s="17" t="str"/>
      <x:c r="M124" s="17" t="str"/>
      <x:c r="N124" s="17" t="str"/>
      <x:c r="O124" s="17" t="str"/>
      <x:c r="P124" s="17" t="str"/>
    </x:row>
    <x:row r="125">
      <x:c r="A125" s="17" t="str">
        <x:v>SS-124</x:v>
      </x:c>
      <x:c r="B125" s="17" t="n">
        <x:v>6</x:v>
      </x:c>
      <x:c r="C125" s="17" t="str">
        <x:v>Admin</x:v>
      </x:c>
      <x:c r="D125" s="17" t="str">
        <x:v>P1</x:v>
      </x:c>
      <x:c r="E125" s="17" t="str">
        <x:v>Production safe</x:v>
      </x:c>
      <x:c r="F125" s="17" t="str">
        <x:v>Admin</x:v>
      </x:c>
      <x:c r="G125" s="17" t="str">
        <x:v>Production</x:v>
      </x:c>
      <x:c r="H125" s="17" t="str">
        <x:v>Overview metrics</x:v>
      </x:c>
      <x:c r="I125" s="17" t="str">
        <x:v>Inspect dashboard after known scans/AI attempts.</x:v>
      </x:c>
      <x:c r="J125" s="17" t="str">
        <x:v>Counts are plausible and reflect recent operations.</x:v>
      </x:c>
      <x:c r="K125" s="17" t="str">
        <x:v>NOT RUN</x:v>
      </x:c>
      <x:c r="L125" s="17" t="str"/>
      <x:c r="M125" s="17" t="str"/>
      <x:c r="N125" s="17" t="str"/>
      <x:c r="O125" s="17" t="str"/>
      <x:c r="P125" s="17" t="str"/>
    </x:row>
    <x:row r="126">
      <x:c r="A126" s="17" t="str">
        <x:v>SS-125</x:v>
      </x:c>
      <x:c r="B126" s="17" t="n">
        <x:v>6</x:v>
      </x:c>
      <x:c r="C126" s="17" t="str">
        <x:v>Admin</x:v>
      </x:c>
      <x:c r="D126" s="17" t="str">
        <x:v>P1</x:v>
      </x:c>
      <x:c r="E126" s="17" t="str">
        <x:v>Production safe</x:v>
      </x:c>
      <x:c r="F126" s="17" t="str">
        <x:v>Admin</x:v>
      </x:c>
      <x:c r="G126" s="17" t="str">
        <x:v>Production</x:v>
      </x:c>
      <x:c r="H126" s="17" t="str">
        <x:v>Provider budget display</x:v>
      </x:c>
      <x:c r="I126" s="17" t="str">
        <x:v>Inspect provider usage/limit.</x:v>
      </x:c>
      <x:c r="J126" s="17" t="str">
        <x:v>Shows today's usage / configured limit; missing config is not rendered as false zero.</x:v>
      </x:c>
      <x:c r="K126" s="17" t="str">
        <x:v>NOT RUN</x:v>
      </x:c>
      <x:c r="L126" s="17" t="str"/>
      <x:c r="M126" s="17" t="str"/>
      <x:c r="N126" s="17" t="str"/>
      <x:c r="O126" s="17" t="str"/>
      <x:c r="P126" s="17" t="str"/>
    </x:row>
    <x:row r="127">
      <x:c r="A127" s="17" t="str">
        <x:v>SS-126</x:v>
      </x:c>
      <x:c r="B127" s="17" t="n">
        <x:v>6</x:v>
      </x:c>
      <x:c r="C127" s="17" t="str">
        <x:v>Admin</x:v>
      </x:c>
      <x:c r="D127" s="17" t="str">
        <x:v>P1</x:v>
      </x:c>
      <x:c r="E127" s="17" t="str">
        <x:v>Production safe</x:v>
      </x:c>
      <x:c r="F127" s="17" t="str">
        <x:v>Admin</x:v>
      </x:c>
      <x:c r="G127" s="17" t="str">
        <x:v>Production</x:v>
      </x:c>
      <x:c r="H127" s="17" t="str">
        <x:v>Needs attention semantics</x:v>
      </x:c>
      <x:c r="I127" s="17" t="str">
        <x:v>Inspect resolved vs unresolved historical failures.</x:v>
      </x:c>
      <x:c r="J127" s="17" t="str">
        <x:v>Only actionable unresolved items appear as active attention.</x:v>
      </x:c>
      <x:c r="K127" s="17" t="str">
        <x:v>NOT RUN</x:v>
      </x:c>
      <x:c r="L127" s="17" t="str"/>
      <x:c r="M127" s="17" t="str"/>
      <x:c r="N127" s="17" t="str"/>
      <x:c r="O127" s="17" t="str"/>
      <x:c r="P127" s="17" t="str"/>
    </x:row>
    <x:row r="128">
      <x:c r="A128" s="17" t="str">
        <x:v>SS-127</x:v>
      </x:c>
      <x:c r="B128" s="17" t="n">
        <x:v>6</x:v>
      </x:c>
      <x:c r="C128" s="17" t="str">
        <x:v>Admin</x:v>
      </x:c>
      <x:c r="D128" s="17" t="str">
        <x:v>P1</x:v>
      </x:c>
      <x:c r="E128" s="17" t="str">
        <x:v>Production safe</x:v>
      </x:c>
      <x:c r="F128" s="17" t="str">
        <x:v>Admin</x:v>
      </x:c>
      <x:c r="G128" s="17" t="str">
        <x:v>Production</x:v>
      </x:c>
      <x:c r="H128" s="17" t="str">
        <x:v>Stale operation classification</x:v>
      </x:c>
      <x:c r="I128" s="17" t="str">
        <x:v>Inspect known stale reservation.</x:v>
      </x:c>
      <x:c r="J128" s="17" t="str">
        <x:v>Not falsely shown as actively leased; recovery/billing risk clear.</x:v>
      </x:c>
      <x:c r="K128" s="17" t="str">
        <x:v>NOT RUN</x:v>
      </x:c>
      <x:c r="L128" s="17" t="str"/>
      <x:c r="M128" s="17" t="str"/>
      <x:c r="N128" s="17" t="str"/>
      <x:c r="O128" s="17" t="str"/>
      <x:c r="P128" s="17" t="str"/>
    </x:row>
    <x:row r="129">
      <x:c r="A129" s="17" t="str">
        <x:v>SS-128</x:v>
      </x:c>
      <x:c r="B129" s="17" t="n">
        <x:v>6</x:v>
      </x:c>
      <x:c r="C129" s="17" t="str">
        <x:v>Support</x:v>
      </x:c>
      <x:c r="D129" s="17" t="str">
        <x:v>P1</x:v>
      </x:c>
      <x:c r="E129" s="17" t="str">
        <x:v>Production safe</x:v>
      </x:c>
      <x:c r="F129" s="17" t="str">
        <x:v>Admin/Pro</x:v>
      </x:c>
      <x:c r="G129" s="17" t="str">
        <x:v>Production</x:v>
      </x:c>
      <x:c r="H129" s="17" t="str">
        <x:v>Support reference user side</x:v>
      </x:c>
      <x:c r="I129" s="17" t="str">
        <x:v>Trigger/use controlled persisted Future failure.</x:v>
      </x:c>
      <x:c r="J129" s="17" t="str">
        <x:v>Customer sees concise RI-... reference, not raw IDs/stack.</x:v>
      </x:c>
      <x:c r="K129" s="17" t="str">
        <x:v>NOT RUN</x:v>
      </x:c>
      <x:c r="L129" s="17" t="str"/>
      <x:c r="M129" s="17" t="str"/>
      <x:c r="N129" s="17" t="str"/>
      <x:c r="O129" s="17" t="str"/>
      <x:c r="P129" s="17" t="str"/>
    </x:row>
    <x:row r="130">
      <x:c r="A130" s="17" t="str">
        <x:v>SS-129</x:v>
      </x:c>
      <x:c r="B130" s="17" t="n">
        <x:v>6</x:v>
      </x:c>
      <x:c r="C130" s="17" t="str">
        <x:v>Support</x:v>
      </x:c>
      <x:c r="D130" s="17" t="str">
        <x:v>P1</x:v>
      </x:c>
      <x:c r="E130" s="17" t="str">
        <x:v>Production safe</x:v>
      </x:c>
      <x:c r="F130" s="17" t="str">
        <x:v>Admin</x:v>
      </x:c>
      <x:c r="G130" s="17" t="str">
        <x:v>Production</x:v>
      </x:c>
      <x:c r="H130" s="17" t="str">
        <x:v>Support reference lookup</x:v>
      </x:c>
      <x:c r="I130" s="17" t="str">
        <x:v>Search RI-... in Admin.</x:v>
      </x:c>
      <x:c r="J130" s="17" t="str">
        <x:v>Correct operation resolves without DevTools.</x:v>
      </x:c>
      <x:c r="K130" s="17" t="str">
        <x:v>NOT RUN</x:v>
      </x:c>
      <x:c r="L130" s="17" t="str"/>
      <x:c r="M130" s="17" t="str"/>
      <x:c r="N130" s="17" t="str"/>
      <x:c r="O130" s="17" t="str"/>
      <x:c r="P130" s="17" t="str"/>
    </x:row>
    <x:row r="131">
      <x:c r="A131" s="17" t="str">
        <x:v>SS-130</x:v>
      </x:c>
      <x:c r="B131" s="17" t="n">
        <x:v>6</x:v>
      </x:c>
      <x:c r="C131" s="17" t="str">
        <x:v>Support</x:v>
      </x:c>
      <x:c r="D131" s="17" t="str">
        <x:v>P1</x:v>
      </x:c>
      <x:c r="E131" s="17" t="str">
        <x:v>Production safe</x:v>
      </x:c>
      <x:c r="F131" s="17" t="str">
        <x:v>Admin</x:v>
      </x:c>
      <x:c r="G131" s="17" t="str">
        <x:v>Production</x:v>
      </x:c>
      <x:c r="H131" s="17" t="str">
        <x:v>Operation diagnosis</x:v>
      </x:c>
      <x:c r="I131" s="17" t="str">
        <x:v>Open looked-up operation.</x:v>
      </x:c>
      <x:c r="J131" s="17" t="str">
        <x:v>Operator can answer what failed, where, unit disposition, retry availability, result existence.</x:v>
      </x:c>
      <x:c r="K131" s="17" t="str">
        <x:v>NOT RUN</x:v>
      </x:c>
      <x:c r="L131" s="17" t="str"/>
      <x:c r="M131" s="17" t="str"/>
      <x:c r="N131" s="17" t="str"/>
      <x:c r="O131" s="17" t="str"/>
      <x:c r="P131" s="17" t="str"/>
    </x:row>
    <x:row r="132">
      <x:c r="A132" s="17" t="str">
        <x:v>SS-131</x:v>
      </x:c>
      <x:c r="B132" s="17" t="n">
        <x:v>6</x:v>
      </x:c>
      <x:c r="C132" s="17" t="str">
        <x:v>Observability</x:v>
      </x:c>
      <x:c r="D132" s="17" t="str">
        <x:v>P0</x:v>
      </x:c>
      <x:c r="E132" s="17" t="str">
        <x:v>Review/Production</x:v>
      </x:c>
      <x:c r="F132" s="17" t="str">
        <x:v>Admin</x:v>
      </x:c>
      <x:c r="G132" s="17" t="str">
        <x:v>Production</x:v>
      </x:c>
      <x:c r="H132" s="17" t="str">
        <x:v>No sensitive telemetry</x:v>
      </x:c>
      <x:c r="I132" s="17" t="str">
        <x:v>Inspect Admin/recent events/log contract.</x:v>
      </x:c>
      <x:c r="J132" s="17" t="str">
        <x:v>No raw source, prompt, provider response, tokens, Stripe body, cookies or DB URL.</x:v>
      </x:c>
      <x:c r="K132" s="17" t="str">
        <x:v>NOT RUN</x:v>
      </x:c>
      <x:c r="L132" s="17" t="str"/>
      <x:c r="M132" s="17" t="str"/>
      <x:c r="N132" s="17" t="str"/>
      <x:c r="O132" s="17" t="str"/>
      <x:c r="P132" s="17" t="str"/>
    </x:row>
    <x:row r="133">
      <x:c r="A133" s="17" t="str">
        <x:v>SS-132</x:v>
      </x:c>
      <x:c r="B133" s="17" t="n">
        <x:v>6</x:v>
      </x:c>
      <x:c r="C133" s="17" t="str">
        <x:v>Observability</x:v>
      </x:c>
      <x:c r="D133" s="17" t="str">
        <x:v>P1</x:v>
      </x:c>
      <x:c r="E133" s="17" t="str">
        <x:v>Production safe</x:v>
      </x:c>
      <x:c r="F133" s="17" t="str">
        <x:v>Admin</x:v>
      </x:c>
      <x:c r="G133" s="17" t="str">
        <x:v>Production</x:v>
      </x:c>
      <x:c r="H133" s="17" t="str">
        <x:v>Deployment identity</x:v>
      </x:c>
      <x:c r="I133" s="17" t="str">
        <x:v>Inspect recent operational event.</x:v>
      </x:c>
      <x:c r="J133" s="17" t="str">
        <x:v>New production events include safe deployment identity where supported.</x:v>
      </x:c>
      <x:c r="K133" s="17" t="str">
        <x:v>NOT RUN</x:v>
      </x:c>
      <x:c r="L133" s="17" t="str"/>
      <x:c r="M133" s="17" t="str"/>
      <x:c r="N133" s="17" t="str"/>
      <x:c r="O133" s="17" t="str"/>
      <x:c r="P133" s="17" t="str"/>
    </x:row>
    <x:row r="134">
      <x:c r="A134" s="17" t="str">
        <x:v>SS-133</x:v>
      </x:c>
      <x:c r="B134" s="17" t="n">
        <x:v>6</x:v>
      </x:c>
      <x:c r="C134" s="17" t="str">
        <x:v>Recovery</x:v>
      </x:c>
      <x:c r="D134" s="17" t="str">
        <x:v>P1</x:v>
      </x:c>
      <x:c r="E134" s="17" t="str">
        <x:v>Controlled fixture</x:v>
      </x:c>
      <x:c r="F134" s="17" t="str">
        <x:v>Pro</x:v>
      </x:c>
      <x:c r="G134" s="17" t="str">
        <x:v>Fixture</x:v>
      </x:c>
      <x:c r="H134" s="17" t="str">
        <x:v>Provider timeout UX</x:v>
      </x:c>
      <x:c r="I134" s="17" t="str">
        <x:v>Use timeout fixture.</x:v>
      </x:c>
      <x:c r="J134" s="17" t="str">
        <x:v>Simple error + retry/resume + support reference; no incorrect charge.</x:v>
      </x:c>
      <x:c r="K134" s="17" t="str">
        <x:v>NOT RUN</x:v>
      </x:c>
      <x:c r="L134" s="17" t="str"/>
      <x:c r="M134" s="17" t="str"/>
      <x:c r="N134" s="17" t="str"/>
      <x:c r="O134" s="17" t="str"/>
      <x:c r="P134" s="17" t="str"/>
    </x:row>
    <x:row r="135">
      <x:c r="A135" s="17" t="str">
        <x:v>SS-134</x:v>
      </x:c>
      <x:c r="B135" s="17" t="n">
        <x:v>6</x:v>
      </x:c>
      <x:c r="C135" s="17" t="str">
        <x:v>Recovery</x:v>
      </x:c>
      <x:c r="D135" s="17" t="str">
        <x:v>P1</x:v>
      </x:c>
      <x:c r="E135" s="17" t="str">
        <x:v>Controlled fixture</x:v>
      </x:c>
      <x:c r="F135" s="17" t="str">
        <x:v>Pro</x:v>
      </x:c>
      <x:c r="G135" s="17" t="str">
        <x:v>Fixture</x:v>
      </x:c>
      <x:c r="H135" s="17" t="str">
        <x:v>Provider rate limit UX</x:v>
      </x:c>
      <x:c r="I135" s="17" t="str">
        <x:v>Use provider rate-limit fixture.</x:v>
      </x:c>
      <x:c r="J135" s="17" t="str">
        <x:v>Recoverable user message; safe state preserved.</x:v>
      </x:c>
      <x:c r="K135" s="17" t="str">
        <x:v>NOT RUN</x:v>
      </x:c>
      <x:c r="L135" s="17" t="str"/>
      <x:c r="M135" s="17" t="str"/>
      <x:c r="N135" s="17" t="str"/>
      <x:c r="O135" s="17" t="str"/>
      <x:c r="P135" s="17" t="str"/>
    </x:row>
    <x:row r="136">
      <x:c r="A136" s="17" t="str">
        <x:v>SS-135</x:v>
      </x:c>
      <x:c r="B136" s="17" t="n">
        <x:v>6</x:v>
      </x:c>
      <x:c r="C136" s="17" t="str">
        <x:v>Recovery</x:v>
      </x:c>
      <x:c r="D136" s="17" t="str">
        <x:v>P1</x:v>
      </x:c>
      <x:c r="E136" s="17" t="str">
        <x:v>Controlled fixture</x:v>
      </x:c>
      <x:c r="F136" s="17" t="str">
        <x:v>Pro</x:v>
      </x:c>
      <x:c r="G136" s="17" t="str">
        <x:v>Fixture</x:v>
      </x:c>
      <x:c r="H136" s="17" t="str">
        <x:v>Global capacity guard</x:v>
      </x:c>
      <x:c r="I136" s="17" t="str">
        <x:v>Saturate controlled capacity fixture.</x:v>
      </x:c>
      <x:c r="J136" s="17" t="str">
        <x:v>No excess provider call; calm temporary-unavailable state.</x:v>
      </x:c>
      <x:c r="K136" s="17" t="str">
        <x:v>NOT RUN</x:v>
      </x:c>
      <x:c r="L136" s="17" t="str"/>
      <x:c r="M136" s="17" t="str"/>
      <x:c r="N136" s="17" t="str"/>
      <x:c r="O136" s="17" t="str"/>
      <x:c r="P136" s="17" t="str"/>
    </x:row>
    <x:row r="137">
      <x:c r="A137" s="17" t="str">
        <x:v>SS-136</x:v>
      </x:c>
      <x:c r="B137" s="17" t="n">
        <x:v>6</x:v>
      </x:c>
      <x:c r="C137" s="17" t="str">
        <x:v>Recovery</x:v>
      </x:c>
      <x:c r="D137" s="17" t="str">
        <x:v>P1</x:v>
      </x:c>
      <x:c r="E137" s="17" t="str">
        <x:v>Controlled fixture</x:v>
      </x:c>
      <x:c r="F137" s="17" t="str">
        <x:v>Free/Pro</x:v>
      </x:c>
      <x:c r="G137" s="17" t="str">
        <x:v>Fixture</x:v>
      </x:c>
      <x:c r="H137" s="17" t="str">
        <x:v>Persistence outage</x:v>
      </x:c>
      <x:c r="I137" s="17" t="str">
        <x:v>Use controlled DB/persistence failure.</x:v>
      </x:c>
      <x:c r="J137" s="17" t="str">
        <x:v>Core result does not falsely disappear; save/recovery message is actionable.</x:v>
      </x:c>
      <x:c r="K137" s="17" t="str">
        <x:v>NOT RUN</x:v>
      </x:c>
      <x:c r="L137" s="17" t="str"/>
      <x:c r="M137" s="17" t="str"/>
      <x:c r="N137" s="17" t="str"/>
      <x:c r="O137" s="17" t="str"/>
      <x:c r="P137" s="17" t="str"/>
    </x:row>
    <x:row r="138">
      <x:c r="A138" s="17" t="str">
        <x:v>SS-137</x:v>
      </x:c>
      <x:c r="B138" s="17" t="n">
        <x:v>6</x:v>
      </x:c>
      <x:c r="C138" s="17" t="str">
        <x:v>Recovery</x:v>
      </x:c>
      <x:c r="D138" s="17" t="str">
        <x:v>P1</x:v>
      </x:c>
      <x:c r="E138" s="17" t="str">
        <x:v>Controlled fixture</x:v>
      </x:c>
      <x:c r="F138" s="17" t="str">
        <x:v>Free</x:v>
      </x:c>
      <x:c r="G138" s="17" t="str">
        <x:v>Fixture</x:v>
      </x:c>
      <x:c r="H138" s="17" t="str">
        <x:v>GitHub auth/permission loss</x:v>
      </x:c>
      <x:c r="I138" s="17" t="str">
        <x:v>Revoke/missing installation fixture.</x:v>
      </x:c>
      <x:c r="J138" s="17" t="str">
        <x:v>Reconnect/alternate source offered.</x:v>
      </x:c>
      <x:c r="K138" s="17" t="str">
        <x:v>NOT RUN</x:v>
      </x:c>
      <x:c r="L138" s="17" t="str"/>
      <x:c r="M138" s="17" t="str"/>
      <x:c r="N138" s="17" t="str"/>
      <x:c r="O138" s="17" t="str"/>
      <x:c r="P138" s="17" t="str"/>
    </x:row>
    <x:row r="139">
      <x:c r="A139" s="17" t="str">
        <x:v>SS-138</x:v>
      </x:c>
      <x:c r="B139" s="17" t="n">
        <x:v>6</x:v>
      </x:c>
      <x:c r="C139" s="17" t="str">
        <x:v>Recovery</x:v>
      </x:c>
      <x:c r="D139" s="17" t="str">
        <x:v>P1</x:v>
      </x:c>
      <x:c r="E139" s="17" t="str">
        <x:v>Controlled fixture</x:v>
      </x:c>
      <x:c r="F139" s="17" t="str">
        <x:v>Anonymous</x:v>
      </x:c>
      <x:c r="G139" s="17" t="str">
        <x:v>Fixture</x:v>
      </x:c>
      <x:c r="H139" s="17" t="str">
        <x:v>Public GitHub 429</x:v>
      </x:c>
      <x:c r="I139" s="17" t="str">
        <x:v>Use safe rate-limit fixture.</x:v>
      </x:c>
      <x:c r="J139" s="17" t="str">
        <x:v>Friendly retry/backoff/fallback; no raw GitHub error.</x:v>
      </x:c>
      <x:c r="K139" s="17" t="str">
        <x:v>NOT RUN</x:v>
      </x:c>
      <x:c r="L139" s="17" t="str"/>
      <x:c r="M139" s="17" t="str"/>
      <x:c r="N139" s="17" t="str"/>
      <x:c r="O139" s="17" t="str"/>
      <x:c r="P139" s="17" t="str"/>
    </x:row>
    <x:row r="140">
      <x:c r="A140" s="17" t="str">
        <x:v>SS-139</x:v>
      </x:c>
      <x:c r="B140" s="17" t="n">
        <x:v>7</x:v>
      </x:c>
      <x:c r="C140" s="17" t="str">
        <x:v>Responsive</x:v>
      </x:c>
      <x:c r="D140" s="17" t="str">
        <x:v>P1</x:v>
      </x:c>
      <x:c r="E140" s="17" t="str">
        <x:v>Production safe</x:v>
      </x:c>
      <x:c r="F140" s="17" t="str">
        <x:v>Anonymous/Free/Pro</x:v>
      </x:c>
      <x:c r="G140" s="17" t="str">
        <x:v>Production</x:v>
      </x:c>
      <x:c r="H140" s="17" t="str">
        <x:v>Viewport 1440 desktop</x:v>
      </x:c>
      <x:c r="I140" s="17" t="str">
        <x:v>Run landing → post-scan → Universe/Futures → Fast Path at 1440 desktop.</x:v>
      </x:c>
      <x:c r="J140" s="17" t="str">
        <x:v>No horizontal document overflow, clipped nav, hidden CTA or panel/canvas collision.</x:v>
      </x:c>
      <x:c r="K140" s="17" t="str">
        <x:v>NOT RUN</x:v>
      </x:c>
      <x:c r="L140" s="17" t="str"/>
      <x:c r="M140" s="17" t="str"/>
      <x:c r="N140" s="17" t="str"/>
      <x:c r="O140" s="17" t="str"/>
      <x:c r="P140" s="17" t="str"/>
    </x:row>
    <x:row r="141">
      <x:c r="A141" s="17" t="str">
        <x:v>SS-140</x:v>
      </x:c>
      <x:c r="B141" s="17" t="n">
        <x:v>7</x:v>
      </x:c>
      <x:c r="C141" s="17" t="str">
        <x:v>Responsive</x:v>
      </x:c>
      <x:c r="D141" s="17" t="str">
        <x:v>P1</x:v>
      </x:c>
      <x:c r="E141" s="17" t="str">
        <x:v>Production safe</x:v>
      </x:c>
      <x:c r="F141" s="17" t="str">
        <x:v>Anonymous/Free/Pro</x:v>
      </x:c>
      <x:c r="G141" s="17" t="str">
        <x:v>Production</x:v>
      </x:c>
      <x:c r="H141" s="17" t="str">
        <x:v>Viewport 1280 desktop</x:v>
      </x:c>
      <x:c r="I141" s="17" t="str">
        <x:v>Run landing → post-scan → Universe/Futures → Fast Path at 1280 desktop.</x:v>
      </x:c>
      <x:c r="J141" s="17" t="str">
        <x:v>No horizontal document overflow, clipped nav, hidden CTA or panel/canvas collision.</x:v>
      </x:c>
      <x:c r="K141" s="17" t="str">
        <x:v>NOT RUN</x:v>
      </x:c>
      <x:c r="L141" s="17" t="str"/>
      <x:c r="M141" s="17" t="str"/>
      <x:c r="N141" s="17" t="str"/>
      <x:c r="O141" s="17" t="str"/>
      <x:c r="P141" s="17" t="str"/>
    </x:row>
    <x:row r="142">
      <x:c r="A142" s="17" t="str">
        <x:v>SS-141</x:v>
      </x:c>
      <x:c r="B142" s="17" t="n">
        <x:v>7</x:v>
      </x:c>
      <x:c r="C142" s="17" t="str">
        <x:v>Responsive</x:v>
      </x:c>
      <x:c r="D142" s="17" t="str">
        <x:v>P1</x:v>
      </x:c>
      <x:c r="E142" s="17" t="str">
        <x:v>Production safe</x:v>
      </x:c>
      <x:c r="F142" s="17" t="str">
        <x:v>Anonymous/Free/Pro</x:v>
      </x:c>
      <x:c r="G142" s="17" t="str">
        <x:v>Production</x:v>
      </x:c>
      <x:c r="H142" s="17" t="str">
        <x:v>Viewport 768 tablet</x:v>
      </x:c>
      <x:c r="I142" s="17" t="str">
        <x:v>Run landing → post-scan → Universe/Futures → Fast Path at 768 tablet.</x:v>
      </x:c>
      <x:c r="J142" s="17" t="str">
        <x:v>No horizontal document overflow, clipped nav, hidden CTA or panel/canvas collision.</x:v>
      </x:c>
      <x:c r="K142" s="17" t="str">
        <x:v>NOT RUN</x:v>
      </x:c>
      <x:c r="L142" s="17" t="str"/>
      <x:c r="M142" s="17" t="str"/>
      <x:c r="N142" s="17" t="str"/>
      <x:c r="O142" s="17" t="str"/>
      <x:c r="P142" s="17" t="str"/>
    </x:row>
    <x:row r="143">
      <x:c r="A143" s="17" t="str">
        <x:v>SS-142</x:v>
      </x:c>
      <x:c r="B143" s="17" t="n">
        <x:v>7</x:v>
      </x:c>
      <x:c r="C143" s="17" t="str">
        <x:v>Responsive</x:v>
      </x:c>
      <x:c r="D143" s="17" t="str">
        <x:v>P1</x:v>
      </x:c>
      <x:c r="E143" s="17" t="str">
        <x:v>Production safe</x:v>
      </x:c>
      <x:c r="F143" s="17" t="str">
        <x:v>Anonymous/Free/Pro</x:v>
      </x:c>
      <x:c r="G143" s="17" t="str">
        <x:v>Production</x:v>
      </x:c>
      <x:c r="H143" s="17" t="str">
        <x:v>Viewport 390 mobile</x:v>
      </x:c>
      <x:c r="I143" s="17" t="str">
        <x:v>Run landing → post-scan → Universe/Futures → Fast Path at 390 mobile.</x:v>
      </x:c>
      <x:c r="J143" s="17" t="str">
        <x:v>No horizontal document overflow, clipped nav, hidden CTA or panel/canvas collision.</x:v>
      </x:c>
      <x:c r="K143" s="17" t="str">
        <x:v>NOT RUN</x:v>
      </x:c>
      <x:c r="L143" s="17" t="str"/>
      <x:c r="M143" s="17" t="str"/>
      <x:c r="N143" s="17" t="str"/>
      <x:c r="O143" s="17" t="str"/>
      <x:c r="P143" s="17" t="str"/>
    </x:row>
    <x:row r="144">
      <x:c r="A144" s="17" t="str">
        <x:v>SS-143</x:v>
      </x:c>
      <x:c r="B144" s="17" t="n">
        <x:v>7</x:v>
      </x:c>
      <x:c r="C144" s="17" t="str">
        <x:v>Accessibility</x:v>
      </x:c>
      <x:c r="D144" s="17" t="str">
        <x:v>P1</x:v>
      </x:c>
      <x:c r="E144" s="17" t="str">
        <x:v>Production safe</x:v>
      </x:c>
      <x:c r="F144" s="17" t="str">
        <x:v>Anonymous/Free/Pro</x:v>
      </x:c>
      <x:c r="G144" s="17" t="str">
        <x:v>Production</x:v>
      </x:c>
      <x:c r="H144" s="17" t="str">
        <x:v>Keyboard core flow</x:v>
      </x:c>
      <x:c r="I144" s="17" t="str">
        <x:v>Use keyboard for nav, perspective cards, action CTA, disclosures, billing.</x:v>
      </x:c>
      <x:c r="J144" s="17" t="str">
        <x:v>Logical focus order; all primary actions operable.</x:v>
      </x:c>
      <x:c r="K144" s="17" t="str">
        <x:v>NOT RUN</x:v>
      </x:c>
      <x:c r="L144" s="17" t="str"/>
      <x:c r="M144" s="17" t="str"/>
      <x:c r="N144" s="17" t="str"/>
      <x:c r="O144" s="17" t="str"/>
      <x:c r="P144" s="17" t="str"/>
    </x:row>
    <x:row r="145">
      <x:c r="A145" s="17" t="str">
        <x:v>SS-144</x:v>
      </x:c>
      <x:c r="B145" s="17" t="n">
        <x:v>7</x:v>
      </x:c>
      <x:c r="C145" s="17" t="str">
        <x:v>Accessibility</x:v>
      </x:c>
      <x:c r="D145" s="17" t="str">
        <x:v>P1</x:v>
      </x:c>
      <x:c r="E145" s="17" t="str">
        <x:v>Production safe</x:v>
      </x:c>
      <x:c r="F145" s="17" t="str">
        <x:v>Anonymous/Free/Pro</x:v>
      </x:c>
      <x:c r="G145" s="17" t="str">
        <x:v>Production</x:v>
      </x:c>
      <x:c r="H145" s="17" t="str">
        <x:v>Visible focus</x:v>
      </x:c>
      <x:c r="I145" s="17" t="str">
        <x:v>Tab through interactive surfaces.</x:v>
      </x:c>
      <x:c r="J145" s="17" t="str">
        <x:v>Focus indicator clearly visible.</x:v>
      </x:c>
      <x:c r="K145" s="17" t="str">
        <x:v>NOT RUN</x:v>
      </x:c>
      <x:c r="L145" s="17" t="str"/>
      <x:c r="M145" s="17" t="str"/>
      <x:c r="N145" s="17" t="str"/>
      <x:c r="O145" s="17" t="str"/>
      <x:c r="P145" s="17" t="str"/>
    </x:row>
    <x:row r="146">
      <x:c r="A146" s="17" t="str">
        <x:v>SS-145</x:v>
      </x:c>
      <x:c r="B146" s="17" t="n">
        <x:v>7</x:v>
      </x:c>
      <x:c r="C146" s="17" t="str">
        <x:v>Accessibility</x:v>
      </x:c>
      <x:c r="D146" s="17" t="str">
        <x:v>P1</x:v>
      </x:c>
      <x:c r="E146" s="17" t="str">
        <x:v>Production safe</x:v>
      </x:c>
      <x:c r="F146" s="17" t="str">
        <x:v>Anonymous/Free/Pro</x:v>
      </x:c>
      <x:c r="G146" s="17" t="str">
        <x:v>Production</x:v>
      </x:c>
      <x:c r="H146" s="17" t="str">
        <x:v>Accessible labels</x:v>
      </x:c>
      <x:c r="I146" s="17" t="str">
        <x:v>Inspect icon-only buttons/toolbars.</x:v>
      </x:c>
      <x:c r="J146" s="17" t="str">
        <x:v>Accessible name/aria-label present.</x:v>
      </x:c>
      <x:c r="K146" s="17" t="str">
        <x:v>NOT RUN</x:v>
      </x:c>
      <x:c r="L146" s="17" t="str"/>
      <x:c r="M146" s="17" t="str"/>
      <x:c r="N146" s="17" t="str"/>
      <x:c r="O146" s="17" t="str"/>
      <x:c r="P146" s="17" t="str"/>
    </x:row>
    <x:row r="147">
      <x:c r="A147" s="17" t="str">
        <x:v>SS-146</x:v>
      </x:c>
      <x:c r="B147" s="17" t="n">
        <x:v>7</x:v>
      </x:c>
      <x:c r="C147" s="17" t="str">
        <x:v>Accessibility</x:v>
      </x:c>
      <x:c r="D147" s="17" t="str">
        <x:v>P1</x:v>
      </x:c>
      <x:c r="E147" s="17" t="str">
        <x:v>Production safe</x:v>
      </x:c>
      <x:c r="F147" s="17" t="str">
        <x:v>Free/Pro</x:v>
      </x:c>
      <x:c r="G147" s="17" t="str">
        <x:v>Production</x:v>
      </x:c>
      <x:c r="H147" s="17" t="str">
        <x:v>Selected state not color-only</x:v>
      </x:c>
      <x:c r="I147" s="17" t="str">
        <x:v>Inspect selected graph/control states.</x:v>
      </x:c>
      <x:c r="J147" s="17" t="str">
        <x:v>Selection communicated by more than color alone.</x:v>
      </x:c>
      <x:c r="K147" s="17" t="str">
        <x:v>NOT RUN</x:v>
      </x:c>
      <x:c r="L147" s="17" t="str"/>
      <x:c r="M147" s="17" t="str"/>
      <x:c r="N147" s="17" t="str"/>
      <x:c r="O147" s="17" t="str"/>
      <x:c r="P147" s="17" t="str"/>
    </x:row>
    <x:row r="148">
      <x:c r="A148" s="17" t="str">
        <x:v>SS-147</x:v>
      </x:c>
      <x:c r="B148" s="17" t="n">
        <x:v>7</x:v>
      </x:c>
      <x:c r="C148" s="17" t="str">
        <x:v>Accessibility</x:v>
      </x:c>
      <x:c r="D148" s="17" t="str">
        <x:v>P1</x:v>
      </x:c>
      <x:c r="E148" s="17" t="str">
        <x:v>Production safe</x:v>
      </x:c>
      <x:c r="F148" s="17" t="str">
        <x:v>Free/Pro</x:v>
      </x:c>
      <x:c r="G148" s="17" t="str">
        <x:v>Production</x:v>
      </x:c>
      <x:c r="H148" s="17" t="str">
        <x:v>Reduced motion</x:v>
      </x:c>
      <x:c r="I148" s="17" t="str">
        <x:v>Enable OS/browser reduced motion.</x:v>
      </x:c>
      <x:c r="J148" s="17" t="str">
        <x:v>Essential information preserved; major movement suppressed.</x:v>
      </x:c>
      <x:c r="K148" s="17" t="str">
        <x:v>NOT RUN</x:v>
      </x:c>
      <x:c r="L148" s="17" t="str"/>
      <x:c r="M148" s="17" t="str"/>
      <x:c r="N148" s="17" t="str"/>
      <x:c r="O148" s="17" t="str"/>
      <x:c r="P148" s="17" t="str"/>
    </x:row>
    <x:row r="149">
      <x:c r="A149" s="17" t="str">
        <x:v>SS-148</x:v>
      </x:c>
      <x:c r="B149" s="17" t="n">
        <x:v>7</x:v>
      </x:c>
      <x:c r="C149" s="17" t="str">
        <x:v>Theme</x:v>
      </x:c>
      <x:c r="D149" s="17" t="str">
        <x:v>P1</x:v>
      </x:c>
      <x:c r="E149" s="17" t="str">
        <x:v>Production safe</x:v>
      </x:c>
      <x:c r="F149" s="17" t="str">
        <x:v>Anonymous/Free/Pro</x:v>
      </x:c>
      <x:c r="G149" s="17" t="str">
        <x:v>Production</x:v>
      </x:c>
      <x:c r="H149" s="17" t="str">
        <x:v>Light theme contrast</x:v>
      </x:c>
      <x:c r="I149" s="17" t="str">
        <x:v>Run key flow in Light.</x:v>
      </x:c>
      <x:c r="J149" s="17" t="str">
        <x:v>Readable contrast across cards, canvas, inspector, errors and trust pages.</x:v>
      </x:c>
      <x:c r="K149" s="17" t="str">
        <x:v>NOT RUN</x:v>
      </x:c>
      <x:c r="L149" s="17" t="str"/>
      <x:c r="M149" s="17" t="str"/>
      <x:c r="N149" s="17" t="str"/>
      <x:c r="O149" s="17" t="str"/>
      <x:c r="P149" s="17" t="str"/>
    </x:row>
    <x:row r="150">
      <x:c r="A150" s="17" t="str">
        <x:v>SS-149</x:v>
      </x:c>
      <x:c r="B150" s="17" t="n">
        <x:v>7</x:v>
      </x:c>
      <x:c r="C150" s="17" t="str">
        <x:v>Theme</x:v>
      </x:c>
      <x:c r="D150" s="17" t="str">
        <x:v>P1</x:v>
      </x:c>
      <x:c r="E150" s="17" t="str">
        <x:v>Production safe</x:v>
      </x:c>
      <x:c r="F150" s="17" t="str">
        <x:v>Anonymous/Free/Pro</x:v>
      </x:c>
      <x:c r="G150" s="17" t="str">
        <x:v>Production</x:v>
      </x:c>
      <x:c r="H150" s="17" t="str">
        <x:v>Dark theme contrast</x:v>
      </x:c>
      <x:c r="I150" s="17" t="str">
        <x:v>Run key flow in Dark.</x:v>
      </x:c>
      <x:c r="J150" s="17" t="str">
        <x:v>Readable without excessive glow; hierarchy remains clear.</x:v>
      </x:c>
      <x:c r="K150" s="17" t="str">
        <x:v>NOT RUN</x:v>
      </x:c>
      <x:c r="L150" s="17" t="str"/>
      <x:c r="M150" s="17" t="str"/>
      <x:c r="N150" s="17" t="str"/>
      <x:c r="O150" s="17" t="str"/>
      <x:c r="P150" s="17" t="str"/>
    </x:row>
    <x:row r="151">
      <x:c r="A151" s="17" t="str">
        <x:v>SS-150</x:v>
      </x:c>
      <x:c r="B151" s="17" t="n">
        <x:v>7</x:v>
      </x:c>
      <x:c r="C151" s="17" t="str">
        <x:v>Theme</x:v>
      </x:c>
      <x:c r="D151" s="17" t="str">
        <x:v>P2</x:v>
      </x:c>
      <x:c r="E151" s="17" t="str">
        <x:v>Production safe</x:v>
      </x:c>
      <x:c r="F151" s="17" t="str">
        <x:v>Free</x:v>
      </x:c>
      <x:c r="G151" s="17" t="str">
        <x:v>Production</x:v>
      </x:c>
      <x:c r="H151" s="17" t="str">
        <x:v>Theme persistence</x:v>
      </x:c>
      <x:c r="I151" s="17" t="str">
        <x:v>Change theme and navigate/reload.</x:v>
      </x:c>
      <x:c r="J151" s="17" t="str">
        <x:v>Preference persists as designed without flash.</x:v>
      </x:c>
      <x:c r="K151" s="17" t="str">
        <x:v>NOT RUN</x:v>
      </x:c>
      <x:c r="L151" s="17" t="str"/>
      <x:c r="M151" s="17" t="str"/>
      <x:c r="N151" s="17" t="str"/>
      <x:c r="O151" s="17" t="str"/>
      <x:c r="P151" s="17" t="str"/>
    </x:row>
    <x:row r="152">
      <x:c r="A152" s="17" t="str">
        <x:v>SS-151</x:v>
      </x:c>
      <x:c r="B152" s="17" t="n">
        <x:v>7</x:v>
      </x:c>
      <x:c r="C152" s="17" t="str">
        <x:v>Mobile</x:v>
      </x:c>
      <x:c r="D152" s="17" t="str">
        <x:v>P1</x:v>
      </x:c>
      <x:c r="E152" s="17" t="str">
        <x:v>Production safe</x:v>
      </x:c>
      <x:c r="F152" s="17" t="str">
        <x:v>Free/Pro</x:v>
      </x:c>
      <x:c r="G152" s="17" t="str">
        <x:v>Production</x:v>
      </x:c>
      <x:c r="H152" s="17" t="str">
        <x:v>Touch Fast Path</x:v>
      </x:c>
      <x:c r="I152" s="17" t="str">
        <x:v>Run core flow at ~390×844.</x:v>
      </x:c>
      <x:c r="J152" s="17" t="str">
        <x:v>One primary action at a time; drawers/tap targets usable.</x:v>
      </x:c>
      <x:c r="K152" s="17" t="str">
        <x:v>NOT RUN</x:v>
      </x:c>
      <x:c r="L152" s="17" t="str"/>
      <x:c r="M152" s="17" t="str"/>
      <x:c r="N152" s="17" t="str"/>
      <x:c r="O152" s="17" t="str"/>
      <x:c r="P152" s="17" t="str"/>
    </x:row>
    <x:row r="153">
      <x:c r="A153" s="17" t="str">
        <x:v>SS-152</x:v>
      </x:c>
      <x:c r="B153" s="17" t="n">
        <x:v>7</x:v>
      </x:c>
      <x:c r="C153" s="17" t="str">
        <x:v>Mobile</x:v>
      </x:c>
      <x:c r="D153" s="17" t="str">
        <x:v>P1</x:v>
      </x:c>
      <x:c r="E153" s="17" t="str">
        <x:v>Production safe</x:v>
      </x:c>
      <x:c r="F153" s="17" t="str">
        <x:v>Pro</x:v>
      </x:c>
      <x:c r="G153" s="17" t="str">
        <x:v>Production</x:v>
      </x:c>
      <x:c r="H153" s="17" t="str">
        <x:v>Future map mobile</x:v>
      </x:c>
      <x:c r="I153" s="17" t="str">
        <x:v>Open vertical Future map and select node.</x:v>
      </x:c>
      <x:c r="J153" s="17" t="str">
        <x:v>Map navigable, drawer readable, no document overflow.</x:v>
      </x:c>
      <x:c r="K153" s="17" t="str">
        <x:v>NOT RUN</x:v>
      </x:c>
      <x:c r="L153" s="17" t="str"/>
      <x:c r="M153" s="17" t="str"/>
      <x:c r="N153" s="17" t="str"/>
      <x:c r="O153" s="17" t="str"/>
      <x:c r="P153" s="17" t="str"/>
    </x:row>
    <x:row r="154">
      <x:c r="A154" s="17" t="str">
        <x:v>SS-153</x:v>
      </x:c>
      <x:c r="B154" s="17" t="n">
        <x:v>7</x:v>
      </x:c>
      <x:c r="C154" s="17" t="str">
        <x:v>Quality Gates</x:v>
      </x:c>
      <x:c r="D154" s="17" t="str">
        <x:v>P1</x:v>
      </x:c>
      <x:c r="E154" s="17" t="str">
        <x:v>Automated</x:v>
      </x:c>
      <x:c r="F154" s="17" t="str">
        <x:v>Developer</x:v>
      </x:c>
      <x:c r="G154" s="17" t="str">
        <x:v>Local/CI</x:v>
      </x:c>
      <x:c r="H154" s="17" t="str">
        <x:v>git diff --check</x:v>
      </x:c>
      <x:c r="I154" s="17" t="str">
        <x:v>Run command.</x:v>
      </x:c>
      <x:c r="J154" s="17" t="str">
        <x:v>Pass; no whitespace errors.</x:v>
      </x:c>
      <x:c r="K154" s="17" t="str">
        <x:v>NOT RUN</x:v>
      </x:c>
      <x:c r="L154" s="17" t="str"/>
      <x:c r="M154" s="17" t="str"/>
      <x:c r="N154" s="17" t="str"/>
      <x:c r="O154" s="17" t="str"/>
      <x:c r="P154" s="17" t="str"/>
    </x:row>
    <x:row r="155">
      <x:c r="A155" s="17" t="str">
        <x:v>SS-154</x:v>
      </x:c>
      <x:c r="B155" s="17" t="n">
        <x:v>7</x:v>
      </x:c>
      <x:c r="C155" s="17" t="str">
        <x:v>Quality Gates</x:v>
      </x:c>
      <x:c r="D155" s="17" t="str">
        <x:v>P1</x:v>
      </x:c>
      <x:c r="E155" s="17" t="str">
        <x:v>Automated</x:v>
      </x:c>
      <x:c r="F155" s="17" t="str">
        <x:v>Developer</x:v>
      </x:c>
      <x:c r="G155" s="17" t="str">
        <x:v>Local/CI</x:v>
      </x:c>
      <x:c r="H155" s="17" t="str">
        <x:v>Lint</x:v>
      </x:c>
      <x:c r="I155" s="17" t="str">
        <x:v>npm run lint</x:v>
      </x:c>
      <x:c r="J155" s="17" t="str">
        <x:v>Pass cleanly.</x:v>
      </x:c>
      <x:c r="K155" s="17" t="str">
        <x:v>NOT RUN</x:v>
      </x:c>
      <x:c r="L155" s="17" t="str"/>
      <x:c r="M155" s="17" t="str"/>
      <x:c r="N155" s="17" t="str"/>
      <x:c r="O155" s="17" t="str"/>
      <x:c r="P155" s="17" t="str"/>
    </x:row>
    <x:row r="156">
      <x:c r="A156" s="17" t="str">
        <x:v>SS-155</x:v>
      </x:c>
      <x:c r="B156" s="17" t="n">
        <x:v>7</x:v>
      </x:c>
      <x:c r="C156" s="17" t="str">
        <x:v>Quality Gates</x:v>
      </x:c>
      <x:c r="D156" s="17" t="str">
        <x:v>P0</x:v>
      </x:c>
      <x:c r="E156" s="17" t="str">
        <x:v>Automated</x:v>
      </x:c>
      <x:c r="F156" s="17" t="str">
        <x:v>Developer</x:v>
      </x:c>
      <x:c r="G156" s="17" t="str">
        <x:v>Local/CI</x:v>
      </x:c>
      <x:c r="H156" s="17" t="str">
        <x:v>Typecheck</x:v>
      </x:c>
      <x:c r="I156" s="17" t="str">
        <x:v>npm run typecheck</x:v>
      </x:c>
      <x:c r="J156" s="17" t="str">
        <x:v>Pass.</x:v>
      </x:c>
      <x:c r="K156" s="17" t="str">
        <x:v>NOT RUN</x:v>
      </x:c>
      <x:c r="L156" s="17" t="str"/>
      <x:c r="M156" s="17" t="str"/>
      <x:c r="N156" s="17" t="str"/>
      <x:c r="O156" s="17" t="str"/>
      <x:c r="P156" s="17" t="str"/>
    </x:row>
    <x:row r="157">
      <x:c r="A157" s="17" t="str">
        <x:v>SS-156</x:v>
      </x:c>
      <x:c r="B157" s="17" t="n">
        <x:v>7</x:v>
      </x:c>
      <x:c r="C157" s="17" t="str">
        <x:v>Quality Gates</x:v>
      </x:c>
      <x:c r="D157" s="17" t="str">
        <x:v>P0</x:v>
      </x:c>
      <x:c r="E157" s="17" t="str">
        <x:v>Automated</x:v>
      </x:c>
      <x:c r="F157" s="17" t="str">
        <x:v>Developer</x:v>
      </x:c>
      <x:c r="G157" s="17" t="str">
        <x:v>Local/CI</x:v>
      </x:c>
      <x:c r="H157" s="17" t="str">
        <x:v>Database migration tests</x:v>
      </x:c>
      <x:c r="I157" s="17" t="str">
        <x:v>npm run db:migrate:test</x:v>
      </x:c>
      <x:c r="J157" s="17" t="str">
        <x:v>Pass; all migrations protected as expected.</x:v>
      </x:c>
      <x:c r="K157" s="17" t="str">
        <x:v>NOT RUN</x:v>
      </x:c>
      <x:c r="L157" s="17" t="str"/>
      <x:c r="M157" s="17" t="str"/>
      <x:c r="N157" s="17" t="str"/>
      <x:c r="O157" s="17" t="str"/>
      <x:c r="P157" s="17" t="str"/>
    </x:row>
    <x:row r="158">
      <x:c r="A158" s="17" t="str">
        <x:v>SS-157</x:v>
      </x:c>
      <x:c r="B158" s="17" t="n">
        <x:v>7</x:v>
      </x:c>
      <x:c r="C158" s="17" t="str">
        <x:v>Quality Gates</x:v>
      </x:c>
      <x:c r="D158" s="17" t="str">
        <x:v>P0</x:v>
      </x:c>
      <x:c r="E158" s="17" t="str">
        <x:v>Automated</x:v>
      </x:c>
      <x:c r="F158" s="17" t="str">
        <x:v>Developer</x:v>
      </x:c>
      <x:c r="G158" s="17" t="str">
        <x:v>Local/CI</x:v>
      </x:c>
      <x:c r="H158" s="17" t="str">
        <x:v>Full serial tests</x:v>
      </x:c>
      <x:c r="I158" s="17" t="str">
        <x:v>npm test -- --maxWorkers=1 --minWorkers=1</x:v>
      </x:c>
      <x:c r="J158" s="17" t="str">
        <x:v>Pass without weakened assertions/timeouts.</x:v>
      </x:c>
      <x:c r="K158" s="17" t="str">
        <x:v>NOT RUN</x:v>
      </x:c>
      <x:c r="L158" s="17" t="str"/>
      <x:c r="M158" s="17" t="str"/>
      <x:c r="N158" s="17" t="str"/>
      <x:c r="O158" s="17" t="str"/>
      <x:c r="P158" s="17" t="str"/>
    </x:row>
    <x:row r="159">
      <x:c r="A159" s="17" t="str">
        <x:v>SS-158</x:v>
      </x:c>
      <x:c r="B159" s="17" t="n">
        <x:v>7</x:v>
      </x:c>
      <x:c r="C159" s="17" t="str">
        <x:v>Quality Gates</x:v>
      </x:c>
      <x:c r="D159" s="17" t="str">
        <x:v>P0</x:v>
      </x:c>
      <x:c r="E159" s="17" t="str">
        <x:v>Automated</x:v>
      </x:c>
      <x:c r="F159" s="17" t="str">
        <x:v>Developer</x:v>
      </x:c>
      <x:c r="G159" s="17" t="str">
        <x:v>Local/CI</x:v>
      </x:c>
      <x:c r="H159" s="17" t="str">
        <x:v>Production build</x:v>
      </x:c>
      <x:c r="I159" s="17" t="str">
        <x:v>npm run build</x:v>
      </x:c>
      <x:c r="J159" s="17" t="str">
        <x:v>Pass.</x:v>
      </x:c>
      <x:c r="K159" s="17" t="str">
        <x:v>NOT RUN</x:v>
      </x:c>
      <x:c r="L159" s="17" t="str"/>
      <x:c r="M159" s="17" t="str"/>
      <x:c r="N159" s="17" t="str"/>
      <x:c r="O159" s="17" t="str"/>
      <x:c r="P159" s="17" t="str"/>
    </x:row>
    <x:row r="160">
      <x:c r="A160" s="17" t="str">
        <x:v>SS-159</x:v>
      </x:c>
      <x:c r="B160" s="17" t="n">
        <x:v>7</x:v>
      </x:c>
      <x:c r="C160" s="17" t="str">
        <x:v>Quality Gates</x:v>
      </x:c>
      <x:c r="D160" s="17" t="str">
        <x:v>P0</x:v>
      </x:c>
      <x:c r="E160" s="17" t="str">
        <x:v>Automated</x:v>
      </x:c>
      <x:c r="F160" s="17" t="str">
        <x:v>Developer</x:v>
      </x:c>
      <x:c r="G160" s="17" t="str">
        <x:v>Local/CI</x:v>
      </x:c>
      <x:c r="H160" s="17" t="str">
        <x:v>Bundle report</x:v>
      </x:c>
      <x:c r="I160" s="17" t="str">
        <x:v>npm run build:report</x:v>
      </x:c>
      <x:c r="J160" s="17" t="str">
        <x:v>Pass; no server-only markers in browser assets.</x:v>
      </x:c>
      <x:c r="K160" s="17" t="str">
        <x:v>NOT RUN</x:v>
      </x:c>
      <x:c r="L160" s="17" t="str"/>
      <x:c r="M160" s="17" t="str"/>
      <x:c r="N160" s="17" t="str"/>
      <x:c r="O160" s="17" t="str"/>
      <x:c r="P160" s="17" t="str"/>
    </x:row>
    <x:row r="161">
      <x:c r="A161" s="17" t="str">
        <x:v>SS-160</x:v>
      </x:c>
      <x:c r="B161" s="17" t="n">
        <x:v>7</x:v>
      </x:c>
      <x:c r="C161" s="17" t="str">
        <x:v>Quality Gates</x:v>
      </x:c>
      <x:c r="D161" s="17" t="str">
        <x:v>P1</x:v>
      </x:c>
      <x:c r="E161" s="17" t="str">
        <x:v>Automated</x:v>
      </x:c>
      <x:c r="F161" s="17" t="str">
        <x:v>Developer</x:v>
      </x:c>
      <x:c r="G161" s="17" t="str">
        <x:v>Local/CI</x:v>
      </x:c>
      <x:c r="H161" s="17" t="str">
        <x:v>Dogfood scan</x:v>
      </x:c>
      <x:c r="I161" s="17" t="str">
        <x:v>npm run scan:dogfood</x:v>
      </x:c>
      <x:c r="J161" s="17" t="str">
        <x:v>Pass or safe external-rate-limit limitation explicitly documented.</x:v>
      </x:c>
      <x:c r="K161" s="17" t="str">
        <x:v>NOT RUN</x:v>
      </x:c>
      <x:c r="L161" s="17" t="str"/>
      <x:c r="M161" s="17" t="str"/>
      <x:c r="N161" s="17" t="str"/>
      <x:c r="O161" s="17" t="str"/>
      <x:c r="P161" s="17" t="str"/>
    </x:row>
    <x:row r="162">
      <x:c r="A162" s="17" t="str">
        <x:v>SS-161</x:v>
      </x:c>
      <x:c r="B162" s="17" t="n">
        <x:v>8</x:v>
      </x:c>
      <x:c r="C162" s="17" t="str">
        <x:v>Go/No-Go</x:v>
      </x:c>
      <x:c r="D162" s="17" t="str">
        <x:v>P0</x:v>
      </x:c>
      <x:c r="E162" s="17" t="str">
        <x:v>Human decision</x:v>
      </x:c>
      <x:c r="F162" s="17" t="str">
        <x:v>Owner</x:v>
      </x:c>
      <x:c r="G162" s="17" t="str">
        <x:v>Operations</x:v>
      </x:c>
      <x:c r="H162" s="17" t="str">
        <x:v>P0/P1 count</x:v>
      </x:c>
      <x:c r="I162" s="17" t="str">
        <x:v>Review Defects sheet.</x:v>
      </x:c>
      <x:c r="J162" s="17" t="str">
        <x:v>P0 = 0; P1 = 0 or explicitly owner-approved beta exception.</x:v>
      </x:c>
      <x:c r="K162" s="17" t="str">
        <x:v>NOT RUN</x:v>
      </x:c>
      <x:c r="L162" s="17" t="str"/>
      <x:c r="M162" s="17" t="str"/>
      <x:c r="N162" s="17" t="str"/>
      <x:c r="O162" s="17" t="str"/>
      <x:c r="P162" s="17" t="str"/>
    </x:row>
    <x:row r="163">
      <x:c r="A163" s="17" t="str">
        <x:v>SS-162</x:v>
      </x:c>
      <x:c r="B163" s="17" t="n">
        <x:v>8</x:v>
      </x:c>
      <x:c r="C163" s="17" t="str">
        <x:v>Go/No-Go</x:v>
      </x:c>
      <x:c r="D163" s="17" t="str">
        <x:v>P1</x:v>
      </x:c>
      <x:c r="E163" s="17" t="str">
        <x:v>Human decision</x:v>
      </x:c>
      <x:c r="F163" s="17" t="str">
        <x:v>Owner</x:v>
      </x:c>
      <x:c r="G163" s="17" t="str">
        <x:v>Operations</x:v>
      </x:c>
      <x:c r="H163" s="17" t="str">
        <x:v>Monitoring owner</x:v>
      </x:c>
      <x:c r="I163" s="17" t="str">
        <x:v>Name person responsible for daily Admin monitoring.</x:v>
      </x:c>
      <x:c r="J163" s="17" t="str">
        <x:v>Owner recorded.</x:v>
      </x:c>
      <x:c r="K163" s="17" t="str">
        <x:v>NOT RUN</x:v>
      </x:c>
      <x:c r="L163" s="17" t="str"/>
      <x:c r="M163" s="17" t="str"/>
      <x:c r="N163" s="17" t="str"/>
      <x:c r="O163" s="17" t="str"/>
      <x:c r="P163" s="17" t="str"/>
    </x:row>
    <x:row r="164">
      <x:c r="A164" s="17" t="str">
        <x:v>SS-163</x:v>
      </x:c>
      <x:c r="B164" s="17" t="n">
        <x:v>8</x:v>
      </x:c>
      <x:c r="C164" s="17" t="str">
        <x:v>Go/No-Go</x:v>
      </x:c>
      <x:c r="D164" s="17" t="str">
        <x:v>P1</x:v>
      </x:c>
      <x:c r="E164" s="17" t="str">
        <x:v>Human decision</x:v>
      </x:c>
      <x:c r="F164" s="17" t="str">
        <x:v>Owner</x:v>
      </x:c>
      <x:c r="G164" s="17" t="str">
        <x:v>Operations</x:v>
      </x:c>
      <x:c r="H164" s="17" t="str">
        <x:v>Support owner</x:v>
      </x:c>
      <x:c r="I164" s="17" t="str">
        <x:v>Name closed-beta support owner.</x:v>
      </x:c>
      <x:c r="J164" s="17" t="str">
        <x:v>Owner recorded.</x:v>
      </x:c>
      <x:c r="K164" s="17" t="str">
        <x:v>NOT RUN</x:v>
      </x:c>
      <x:c r="L164" s="17" t="str"/>
      <x:c r="M164" s="17" t="str"/>
      <x:c r="N164" s="17" t="str"/>
      <x:c r="O164" s="17" t="str"/>
      <x:c r="P164" s="17" t="str"/>
    </x:row>
    <x:row r="165">
      <x:c r="A165" s="17" t="str">
        <x:v>SS-164</x:v>
      </x:c>
      <x:c r="B165" s="17" t="n">
        <x:v>8</x:v>
      </x:c>
      <x:c r="C165" s="17" t="str">
        <x:v>Go/No-Go</x:v>
      </x:c>
      <x:c r="D165" s="17" t="str">
        <x:v>P1</x:v>
      </x:c>
      <x:c r="E165" s="17" t="str">
        <x:v>Human decision</x:v>
      </x:c>
      <x:c r="F165" s="17" t="str">
        <x:v>Owner</x:v>
      </x:c>
      <x:c r="G165" s="17" t="str">
        <x:v>Operations</x:v>
      </x:c>
      <x:c r="H165" s="17" t="str">
        <x:v>Incident owner</x:v>
      </x:c>
      <x:c r="I165" s="17" t="str">
        <x:v>Name incident coordinator.</x:v>
      </x:c>
      <x:c r="J165" s="17" t="str">
        <x:v>Owner recorded.</x:v>
      </x:c>
      <x:c r="K165" s="17" t="str">
        <x:v>NOT RUN</x:v>
      </x:c>
      <x:c r="L165" s="17" t="str"/>
      <x:c r="M165" s="17" t="str"/>
      <x:c r="N165" s="17" t="str"/>
      <x:c r="O165" s="17" t="str"/>
      <x:c r="P165" s="17" t="str"/>
    </x:row>
    <x:row r="166">
      <x:c r="A166" s="17" t="str">
        <x:v>SS-165</x:v>
      </x:c>
      <x:c r="B166" s="17" t="n">
        <x:v>8</x:v>
      </x:c>
      <x:c r="C166" s="17" t="str">
        <x:v>Go/No-Go</x:v>
      </x:c>
      <x:c r="D166" s="17" t="str">
        <x:v>P1</x:v>
      </x:c>
      <x:c r="E166" s="17" t="str">
        <x:v>Human decision</x:v>
      </x:c>
      <x:c r="F166" s="17" t="str">
        <x:v>Owner</x:v>
      </x:c>
      <x:c r="G166" s="17" t="str">
        <x:v>Operations</x:v>
      </x:c>
      <x:c r="H166" s="17" t="str">
        <x:v>Rollback owner/procedure</x:v>
      </x:c>
      <x:c r="I166" s="17" t="str">
        <x:v>Name owner and record rollback trigger/procedure.</x:v>
      </x:c>
      <x:c r="J166" s="17" t="str">
        <x:v>Owner/procedure recorded.</x:v>
      </x:c>
      <x:c r="K166" s="17" t="str">
        <x:v>NOT RUN</x:v>
      </x:c>
      <x:c r="L166" s="17" t="str"/>
      <x:c r="M166" s="17" t="str"/>
      <x:c r="N166" s="17" t="str"/>
      <x:c r="O166" s="17" t="str"/>
      <x:c r="P166" s="17" t="str"/>
    </x:row>
    <x:row r="167">
      <x:c r="A167" s="17" t="str">
        <x:v>SS-166</x:v>
      </x:c>
      <x:c r="B167" s="17" t="n">
        <x:v>8</x:v>
      </x:c>
      <x:c r="C167" s="17" t="str">
        <x:v>Go/No-Go</x:v>
      </x:c>
      <x:c r="D167" s="17" t="str">
        <x:v>P1</x:v>
      </x:c>
      <x:c r="E167" s="17" t="str">
        <x:v>Human decision</x:v>
      </x:c>
      <x:c r="F167" s="17" t="str">
        <x:v>Owner</x:v>
      </x:c>
      <x:c r="G167" s="17" t="str">
        <x:v>Legal</x:v>
      </x:c>
      <x:c r="H167" s="17" t="str">
        <x:v>Legal/compliance review</x:v>
      </x:c>
      <x:c r="I167" s="17" t="str">
        <x:v>Complete human review of Terms/Privacy/Security/AI disclosures.</x:v>
      </x:c>
      <x:c r="J167" s="17" t="str">
        <x:v>Approval/remaining exceptions recorded.</x:v>
      </x:c>
      <x:c r="K167" s="17" t="str">
        <x:v>NOT RUN</x:v>
      </x:c>
      <x:c r="L167" s="17" t="str"/>
      <x:c r="M167" s="17" t="str"/>
      <x:c r="N167" s="17" t="str"/>
      <x:c r="O167" s="17" t="str"/>
      <x:c r="P167" s="17" t="str"/>
    </x:row>
    <x:row r="168">
      <x:c r="A168" s="17" t="str">
        <x:v>SS-167</x:v>
      </x:c>
      <x:c r="B168" s="17" t="n">
        <x:v>8</x:v>
      </x:c>
      <x:c r="C168" s="17" t="str">
        <x:v>Go/No-Go</x:v>
      </x:c>
      <x:c r="D168" s="17" t="str">
        <x:v>P1</x:v>
      </x:c>
      <x:c r="E168" s="17" t="str">
        <x:v>Human decision</x:v>
      </x:c>
      <x:c r="F168" s="17" t="str">
        <x:v>Owner</x:v>
      </x:c>
      <x:c r="G168" s="17" t="str">
        <x:v>Operations</x:v>
      </x:c>
      <x:c r="H168" s="17" t="str">
        <x:v>Operational-event retention</x:v>
      </x:c>
      <x:c r="I168" s="17" t="str">
        <x:v>Choose retention duration/policy.</x:v>
      </x:c>
      <x:c r="J168" s="17" t="str">
        <x:v>Decision recorded and implementation follow-up created if needed.</x:v>
      </x:c>
      <x:c r="K168" s="17" t="str">
        <x:v>NOT RUN</x:v>
      </x:c>
      <x:c r="L168" s="17" t="str"/>
      <x:c r="M168" s="17" t="str"/>
      <x:c r="N168" s="17" t="str"/>
      <x:c r="O168" s="17" t="str"/>
      <x:c r="P168" s="17" t="str"/>
    </x:row>
    <x:row r="169">
      <x:c r="A169" s="17" t="str">
        <x:v>SS-168</x:v>
      </x:c>
      <x:c r="B169" s="17" t="n">
        <x:v>8</x:v>
      </x:c>
      <x:c r="C169" s="17" t="str">
        <x:v>Go/No-Go</x:v>
      </x:c>
      <x:c r="D169" s="17" t="str">
        <x:v>P1</x:v>
      </x:c>
      <x:c r="E169" s="17" t="str">
        <x:v>Human decision</x:v>
      </x:c>
      <x:c r="F169" s="17" t="str">
        <x:v>Owner</x:v>
      </x:c>
      <x:c r="G169" s="17" t="str">
        <x:v>Business</x:v>
      </x:c>
      <x:c r="H169" s="17" t="str">
        <x:v>Closed-beta cohort</x:v>
      </x:c>
      <x:c r="I169" s="17" t="str">
        <x:v>Choose initial 2–3 Wave 0 testers and invitation method.</x:v>
      </x:c>
      <x:c r="J169" s="17" t="str">
        <x:v>Cohort approved.</x:v>
      </x:c>
      <x:c r="K169" s="17" t="str">
        <x:v>NOT RUN</x:v>
      </x:c>
      <x:c r="L169" s="17" t="str"/>
      <x:c r="M169" s="17" t="str"/>
      <x:c r="N169" s="17" t="str"/>
      <x:c r="O169" s="17" t="str"/>
      <x:c r="P169" s="17" t="str"/>
    </x:row>
    <x:row r="170">
      <x:c r="A170" s="17" t="str">
        <x:v>SS-169</x:v>
      </x:c>
      <x:c r="B170" s="17" t="n">
        <x:v>8</x:v>
      </x:c>
      <x:c r="C170" s="17" t="str">
        <x:v>Go/No-Go</x:v>
      </x:c>
      <x:c r="D170" s="17" t="str">
        <x:v>P1</x:v>
      </x:c>
      <x:c r="E170" s="17" t="str">
        <x:v>Human decision</x:v>
      </x:c>
      <x:c r="F170" s="17" t="str">
        <x:v>Owner</x:v>
      </x:c>
      <x:c r="G170" s="17" t="str">
        <x:v>Business</x:v>
      </x:c>
      <x:c r="H170" s="17" t="str">
        <x:v>Stripe/business mode</x:v>
      </x:c>
      <x:c r="I170" s="17" t="str">
        <x:v>Approve live/test payment strategy for beta.</x:v>
      </x:c>
      <x:c r="J170" s="17" t="str">
        <x:v>Decision recorded.</x:v>
      </x:c>
      <x:c r="K170" s="17" t="str">
        <x:v>NOT RUN</x:v>
      </x:c>
      <x:c r="L170" s="17" t="str"/>
      <x:c r="M170" s="17" t="str"/>
      <x:c r="N170" s="17" t="str"/>
      <x:c r="O170" s="17" t="str"/>
      <x:c r="P170" s="17" t="str"/>
    </x:row>
    <x:row r="171">
      <x:c r="A171" s="17" t="str">
        <x:v>SS-170</x:v>
      </x:c>
      <x:c r="B171" s="17" t="n">
        <x:v>8</x:v>
      </x:c>
      <x:c r="C171" s="17" t="str">
        <x:v>Go/No-Go</x:v>
      </x:c>
      <x:c r="D171" s="17" t="str">
        <x:v>P2</x:v>
      </x:c>
      <x:c r="E171" s="17" t="str">
        <x:v>Human decision</x:v>
      </x:c>
      <x:c r="F171" s="17" t="str">
        <x:v>Owner</x:v>
      </x:c>
      <x:c r="G171" s="17" t="str">
        <x:v>Operations</x:v>
      </x:c>
      <x:c r="H171" s="17" t="str">
        <x:v>External alerting</x:v>
      </x:c>
      <x:c r="I171" s="17" t="str">
        <x:v>Decide whether Admin + structured logs are enough for Wave 0.</x:v>
      </x:c>
      <x:c r="J171" s="17" t="str">
        <x:v>Decision recorded; external alerting may remain post-beta.</x:v>
      </x:c>
      <x:c r="K171" s="17" t="str">
        <x:v>NOT RUN</x:v>
      </x:c>
      <x:c r="L171" s="17" t="str"/>
      <x:c r="M171" s="17" t="str"/>
      <x:c r="N171" s="17" t="str"/>
      <x:c r="O171" s="17" t="str"/>
      <x:c r="P171" s="17" t="str"/>
    </x:row>
    <x:row r="172">
      <x:c r="A172" s="17" t="str">
        <x:v>SS-171</x:v>
      </x:c>
      <x:c r="B172" s="17" t="n">
        <x:v>8</x:v>
      </x:c>
      <x:c r="C172" s="17" t="str">
        <x:v>Go/No-Go</x:v>
      </x:c>
      <x:c r="D172" s="17" t="str">
        <x:v>P1</x:v>
      </x:c>
      <x:c r="E172" s="17" t="str">
        <x:v>Human decision</x:v>
      </x:c>
      <x:c r="F172" s="17" t="str">
        <x:v>Owner</x:v>
      </x:c>
      <x:c r="G172" s="17" t="str">
        <x:v>Operations</x:v>
      </x:c>
      <x:c r="H172" s="17" t="str">
        <x:v>Daily beta routine</x:v>
      </x:c>
      <x:c r="I172" s="17" t="str">
        <x:v>Define daily check: Admin, failed ops, budget, Stripe, support queue.</x:v>
      </x:c>
      <x:c r="J172" s="17" t="str">
        <x:v>Runbook owner and cadence recorded.</x:v>
      </x:c>
      <x:c r="K172" s="17" t="str">
        <x:v>NOT RUN</x:v>
      </x:c>
      <x:c r="L172" s="17" t="str"/>
      <x:c r="M172" s="17" t="str"/>
      <x:c r="N172" s="17" t="str"/>
      <x:c r="O172" s="17" t="str"/>
      <x:c r="P172" s="17" t="str"/>
    </x:row>
    <x:row r="173">
      <x:c r="A173" s="17" t="str">
        <x:v>SS-172</x:v>
      </x:c>
      <x:c r="B173" s="17" t="n">
        <x:v>8</x:v>
      </x:c>
      <x:c r="C173" s="17" t="str">
        <x:v>Go/No-Go</x:v>
      </x:c>
      <x:c r="D173" s="17" t="str">
        <x:v>P1</x:v>
      </x:c>
      <x:c r="E173" s="17" t="str">
        <x:v>Human decision</x:v>
      </x:c>
      <x:c r="F173" s="17" t="str">
        <x:v>Owner</x:v>
      </x:c>
      <x:c r="G173" s="17" t="str">
        <x:v>Business</x:v>
      </x:c>
      <x:c r="H173" s="17" t="str">
        <x:v>Final Go/No-Go</x:v>
      </x:c>
      <x:c r="I173" s="17" t="str">
        <x:v>Review Run Summary + Defects + human decisions.</x:v>
      </x:c>
      <x:c r="J173" s="17" t="str">
        <x:v>Explicit GO or NO-GO recorded; no automatic launch.</x:v>
      </x:c>
      <x:c r="K173" s="17" t="str">
        <x:v>NOT RUN</x:v>
      </x:c>
      <x:c r="L173" s="17" t="str"/>
      <x:c r="M173" s="17" t="str"/>
      <x:c r="N173" s="17" t="str"/>
      <x:c r="O173" s="17" t="str"/>
      <x:c r="P173" s="17" t="str"/>
    </x:row>
  </x:sheetData>
  <x:conditionalFormatting sqref="K2:K173">
    <x:cfRule type="expression" dxfId="0" priority="1">
      <x:formula>K2="PASS"</x:formula>
    </x:cfRule>
    <x:cfRule type="expression" dxfId="1" priority="2">
      <x:formula>K2="FAIL"</x:formula>
    </x:cfRule>
    <x:cfRule type="expression" dxfId="2" priority="3">
      <x:formula>K2="BLOCKED"</x:formula>
    </x:cfRule>
    <x:cfRule type="expression" dxfId="3" priority="4">
      <x:formula>K2="NOT RUN"</x:formula>
    </x:cfRule>
  </x:conditionalFormatting>
  <x:dataValidations count="2">
    <x:dataValidation type="list" sqref="K2:K173">
      <x:formula1>"NOT RUN,PASS,FAIL,BLOCKED,N/A"</x:formula1>
    </x:dataValidation>
    <x:dataValidation type="list" sqref="D2:D17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edf38f1e54e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ShipSeal QA — Run Summary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23" t="str">
        <x:v>Metric</x:v>
      </x:c>
      <x:c r="B4" s="23" t="str">
        <x:v>Value</x:v>
      </x:c>
      <x:c r="D4" s="23" t="str">
        <x:v>Area</x:v>
      </x:c>
      <x:c r="E4" s="23" t="str">
        <x:v>Total</x:v>
      </x:c>
      <x:c r="F4" s="23" t="str">
        <x:v>PASS</x:v>
      </x:c>
      <x:c r="G4" s="23" t="str">
        <x:v>FAIL</x:v>
      </x:c>
      <x:c r="H4" s="23" t="str">
        <x:v>BLOCKED</x:v>
      </x:c>
      <x:c r="J4" s="23" t="str">
        <x:v>Status</x:v>
      </x:c>
      <x:c r="K4" s="23" t="str">
        <x:v>Count</x:v>
      </x:c>
    </x:row>
    <x:row r="5">
      <x:c r="A5" s="10" t="str">
        <x:v>Total test cases</x:v>
      </x:c>
      <x:c r="B5" t="n">
        <x:f>COUNTA('Test Cases'!A2:A173)</x:f>
        <x:v>172</x:v>
      </x:c>
      <x:c r="D5" s="14" t="str">
        <x:v>Preflight</x:v>
      </x:c>
      <x:c r="E5" s="14" t="n">
        <x:f>COUNTIF('Test Cases'!C$2:C$173,D5)</x:f>
        <x:v>8</x:v>
      </x:c>
      <x:c r="F5" s="14" t="n">
        <x:f>COUNTIFS('Test Cases'!C$2:C$173,D5,'Test Cases'!K$2:K$173,"PASS")</x:f>
        <x:v>0</x:v>
      </x:c>
      <x:c r="G5" s="14" t="n">
        <x:f>COUNTIFS('Test Cases'!C$2:C$173,D5,'Test Cases'!K$2:K$173,"FAIL")</x:f>
        <x:v>0</x:v>
      </x:c>
      <x:c r="H5" s="14" t="n">
        <x:f>COUNTIFS('Test Cases'!C$2:C$173,D5,'Test Cases'!K$2:K$173,"BLOCKED")</x:f>
        <x:v>0</x:v>
      </x:c>
      <x:c r="J5" t="str">
        <x:v>PASS</x:v>
      </x:c>
      <x:c r="K5" t="n">
        <x:f>COUNTIF('Test Cases'!K2:K173,"PASS")</x:f>
        <x:v>0</x:v>
      </x:c>
    </x:row>
    <x:row r="6">
      <x:c r="A6" s="10" t="str">
        <x:v>Executed</x:v>
      </x:c>
      <x:c r="B6" t="n">
        <x:f>COUNTIF('Test Cases'!K2:K173,"&lt;&gt;NOT RUN")</x:f>
        <x:v>0</x:v>
      </x:c>
      <x:c r="D6" s="14" t="str">
        <x:v>Landing</x:v>
      </x:c>
      <x:c r="E6" s="14" t="n">
        <x:f>COUNTIF('Test Cases'!C$2:C$173,D6)</x:f>
        <x:v>5</x:v>
      </x:c>
      <x:c r="F6" s="14" t="n">
        <x:f>COUNTIFS('Test Cases'!C$2:C$173,D6,'Test Cases'!K$2:K$173,"PASS")</x:f>
        <x:v>0</x:v>
      </x:c>
      <x:c r="G6" s="14" t="n">
        <x:f>COUNTIFS('Test Cases'!C$2:C$173,D6,'Test Cases'!K$2:K$173,"FAIL")</x:f>
        <x:v>0</x:v>
      </x:c>
      <x:c r="H6" s="14" t="n">
        <x:f>COUNTIFS('Test Cases'!C$2:C$173,D6,'Test Cases'!K$2:K$173,"BLOCKED")</x:f>
        <x:v>0</x:v>
      </x:c>
      <x:c r="J6" t="str">
        <x:v>FAIL</x:v>
      </x:c>
      <x:c r="K6" t="n">
        <x:f>COUNTIF('Test Cases'!K2:K173,"FAIL")</x:f>
        <x:v>0</x:v>
      </x:c>
    </x:row>
    <x:row r="7">
      <x:c r="A7" s="10" t="str">
        <x:v>PASS</x:v>
      </x:c>
      <x:c r="B7" t="n">
        <x:f>COUNTIF('Test Cases'!K2:K173,"PASS")</x:f>
        <x:v>0</x:v>
      </x:c>
      <x:c r="D7" s="14" t="str">
        <x:v>Auth</x:v>
      </x:c>
      <x:c r="E7" s="14" t="n">
        <x:f>COUNTIF('Test Cases'!C$2:C$173,D7)</x:f>
        <x:v>5</x:v>
      </x:c>
      <x:c r="F7" s="14" t="n">
        <x:f>COUNTIFS('Test Cases'!C$2:C$173,D7,'Test Cases'!K$2:K$173,"PASS")</x:f>
        <x:v>0</x:v>
      </x:c>
      <x:c r="G7" s="14" t="n">
        <x:f>COUNTIFS('Test Cases'!C$2:C$173,D7,'Test Cases'!K$2:K$173,"FAIL")</x:f>
        <x:v>0</x:v>
      </x:c>
      <x:c r="H7" s="14" t="n">
        <x:f>COUNTIFS('Test Cases'!C$2:C$173,D7,'Test Cases'!K$2:K$173,"BLOCKED")</x:f>
        <x:v>0</x:v>
      </x:c>
      <x:c r="J7" t="str">
        <x:v>BLOCKED</x:v>
      </x:c>
      <x:c r="K7" t="n">
        <x:f>COUNTIF('Test Cases'!K2:K173,"BLOCKED")</x:f>
        <x:v>0</x:v>
      </x:c>
    </x:row>
    <x:row r="8">
      <x:c r="A8" s="10" t="str">
        <x:v>FAIL</x:v>
      </x:c>
      <x:c r="B8" t="n">
        <x:f>COUNTIF('Test Cases'!K2:K173,"FAIL")</x:f>
        <x:v>0</x:v>
      </x:c>
      <x:c r="D8" s="14" t="str">
        <x:v>Source Selection</x:v>
      </x:c>
      <x:c r="E8" s="14" t="n">
        <x:f>COUNTIF('Test Cases'!C$2:C$173,D8)</x:f>
        <x:v>1</x:v>
      </x:c>
      <x:c r="F8" s="14" t="n">
        <x:f>COUNTIFS('Test Cases'!C$2:C$173,D8,'Test Cases'!K$2:K$173,"PASS")</x:f>
        <x:v>0</x:v>
      </x:c>
      <x:c r="G8" s="14" t="n">
        <x:f>COUNTIFS('Test Cases'!C$2:C$173,D8,'Test Cases'!K$2:K$173,"FAIL")</x:f>
        <x:v>0</x:v>
      </x:c>
      <x:c r="H8" s="14" t="n">
        <x:f>COUNTIFS('Test Cases'!C$2:C$173,D8,'Test Cases'!K$2:K$173,"BLOCKED")</x:f>
        <x:v>0</x:v>
      </x:c>
      <x:c r="J8" t="str">
        <x:v>NOT RUN</x:v>
      </x:c>
      <x:c r="K8" t="n">
        <x:f>COUNTIF('Test Cases'!K2:K173,"NOT RUN")</x:f>
        <x:v>172</x:v>
      </x:c>
    </x:row>
    <x:row r="9">
      <x:c r="A9" s="10" t="str">
        <x:v>BLOCKED</x:v>
      </x:c>
      <x:c r="B9" t="n">
        <x:f>COUNTIF('Test Cases'!K2:K173,"BLOCKED")</x:f>
        <x:v>0</x:v>
      </x:c>
      <x:c r="D9" s="14" t="str">
        <x:v>GitHub App</x:v>
      </x:c>
      <x:c r="E9" s="14" t="n">
        <x:f>COUNTIF('Test Cases'!C$2:C$173,D9)</x:f>
        <x:v>4</x:v>
      </x:c>
      <x:c r="F9" s="14" t="n">
        <x:f>COUNTIFS('Test Cases'!C$2:C$173,D9,'Test Cases'!K$2:K$173,"PASS")</x:f>
        <x:v>0</x:v>
      </x:c>
      <x:c r="G9" s="14" t="n">
        <x:f>COUNTIFS('Test Cases'!C$2:C$173,D9,'Test Cases'!K$2:K$173,"FAIL")</x:f>
        <x:v>0</x:v>
      </x:c>
      <x:c r="H9" s="14" t="n">
        <x:f>COUNTIFS('Test Cases'!C$2:C$173,D9,'Test Cases'!K$2:K$173,"BLOCKED")</x:f>
        <x:v>0</x:v>
      </x:c>
      <x:c r="J9" t="str">
        <x:v>N/A</x:v>
      </x:c>
      <x:c r="K9" t="n">
        <x:f>COUNTIF('Test Cases'!K2:K173,"N/A")</x:f>
        <x:v>0</x:v>
      </x:c>
    </x:row>
    <x:row r="10">
      <x:c r="A10" s="10" t="str">
        <x:v>N/A</x:v>
      </x:c>
      <x:c r="B10" t="n">
        <x:f>COUNTIF('Test Cases'!K2:K173,"N/A")</x:f>
        <x:v>0</x:v>
      </x:c>
      <x:c r="D10" s="14" t="str">
        <x:v>Public GitHub</x:v>
      </x:c>
      <x:c r="E10" s="14" t="n">
        <x:f>COUNTIF('Test Cases'!C$2:C$173,D10)</x:f>
        <x:v>1</x:v>
      </x:c>
      <x:c r="F10" s="14" t="n">
        <x:f>COUNTIFS('Test Cases'!C$2:C$173,D10,'Test Cases'!K$2:K$173,"PASS")</x:f>
        <x:v>0</x:v>
      </x:c>
      <x:c r="G10" s="14" t="n">
        <x:f>COUNTIFS('Test Cases'!C$2:C$173,D10,'Test Cases'!K$2:K$173,"FAIL")</x:f>
        <x:v>0</x:v>
      </x:c>
      <x:c r="H10" s="14" t="n">
        <x:f>COUNTIFS('Test Cases'!C$2:C$173,D10,'Test Cases'!K$2:K$173,"BLOCKED")</x:f>
        <x:v>0</x:v>
      </x:c>
    </x:row>
    <x:row r="11">
      <x:c r="A11" s="10" t="str">
        <x:v>Completion %</x:v>
      </x:c>
      <x:c r="B11" s="28" t="n">
        <x:f>IF(B5=0,0,(B6-B10)/B5)</x:f>
        <x:v>0</x:v>
      </x:c>
      <x:c r="D11" s="14" t="str">
        <x:v>ZIP</x:v>
      </x:c>
      <x:c r="E11" s="14" t="n">
        <x:f>COUNTIF('Test Cases'!C$2:C$173,D11)</x:f>
        <x:v>1</x:v>
      </x:c>
      <x:c r="F11" s="14" t="n">
        <x:f>COUNTIFS('Test Cases'!C$2:C$173,D11,'Test Cases'!K$2:K$173,"PASS")</x:f>
        <x:v>0</x:v>
      </x:c>
      <x:c r="G11" s="14" t="n">
        <x:f>COUNTIFS('Test Cases'!C$2:C$173,D11,'Test Cases'!K$2:K$173,"FAIL")</x:f>
        <x:v>0</x:v>
      </x:c>
      <x:c r="H11" s="14" t="n">
        <x:f>COUNTIFS('Test Cases'!C$2:C$173,D11,'Test Cases'!K$2:K$173,"BLOCKED")</x:f>
        <x:v>0</x:v>
      </x:c>
    </x:row>
    <x:row r="12">
      <x:c r="D12" s="14" t="str">
        <x:v>Sample</x:v>
      </x:c>
      <x:c r="E12" s="14" t="n">
        <x:f>COUNTIF('Test Cases'!C$2:C$173,D12)</x:f>
        <x:v>1</x:v>
      </x:c>
      <x:c r="F12" s="14" t="n">
        <x:f>COUNTIFS('Test Cases'!C$2:C$173,D12,'Test Cases'!K$2:K$173,"PASS")</x:f>
        <x:v>0</x:v>
      </x:c>
      <x:c r="G12" s="14" t="n">
        <x:f>COUNTIFS('Test Cases'!C$2:C$173,D12,'Test Cases'!K$2:K$173,"FAIL")</x:f>
        <x:v>0</x:v>
      </x:c>
      <x:c r="H12" s="14" t="n">
        <x:f>COUNTIFS('Test Cases'!C$2:C$173,D12,'Test Cases'!K$2:K$173,"BLOCKED")</x:f>
        <x:v>0</x:v>
      </x:c>
    </x:row>
    <x:row r="13">
      <x:c r="D13" s="14" t="str">
        <x:v>Scanning</x:v>
      </x:c>
      <x:c r="E13" s="14" t="n">
        <x:f>COUNTIF('Test Cases'!C$2:C$173,D13)</x:f>
        <x:v>12</x:v>
      </x:c>
      <x:c r="F13" s="14" t="n">
        <x:f>COUNTIFS('Test Cases'!C$2:C$173,D13,'Test Cases'!K$2:K$173,"PASS")</x:f>
        <x:v>0</x:v>
      </x:c>
      <x:c r="G13" s="14" t="n">
        <x:f>COUNTIFS('Test Cases'!C$2:C$173,D13,'Test Cases'!K$2:K$173,"FAIL")</x:f>
        <x:v>0</x:v>
      </x:c>
      <x:c r="H13" s="14" t="n">
        <x:f>COUNTIFS('Test Cases'!C$2:C$173,D13,'Test Cases'!K$2:K$173,"BLOCKED")</x:f>
        <x:v>0</x:v>
      </x:c>
    </x:row>
    <x:row r="14">
      <x:c r="A14" s="10" t="str">
        <x:v>Closed-beta release gate</x:v>
      </x:c>
      <x:c r="B14" s="10" t="str"/>
      <x:c r="D14" s="14" t="str">
        <x:v>Persistence</x:v>
      </x:c>
      <x:c r="E14" s="14" t="n">
        <x:f>COUNTIF('Test Cases'!C$2:C$173,D14)</x:f>
        <x:v>6</x:v>
      </x:c>
      <x:c r="F14" s="14" t="n">
        <x:f>COUNTIFS('Test Cases'!C$2:C$173,D14,'Test Cases'!K$2:K$173,"PASS")</x:f>
        <x:v>0</x:v>
      </x:c>
      <x:c r="G14" s="14" t="n">
        <x:f>COUNTIFS('Test Cases'!C$2:C$173,D14,'Test Cases'!K$2:K$173,"FAIL")</x:f>
        <x:v>0</x:v>
      </x:c>
      <x:c r="H14" s="14" t="n">
        <x:f>COUNTIFS('Test Cases'!C$2:C$173,D14,'Test Cases'!K$2:K$173,"BLOCKED")</x:f>
        <x:v>0</x:v>
      </x:c>
    </x:row>
    <x:row r="15">
      <x:c r="A15" s="10" t="str">
        <x:v>P0 FAIL/BLOCKED</x:v>
      </x:c>
      <x:c r="B15" t="n">
        <x:f>COUNTIFS('Test Cases'!D2:D173,"P0",'Test Cases'!K2:K173,"FAIL")+COUNTIFS('Test Cases'!D2:D173,"P0",'Test Cases'!K2:K173,"BLOCKED")</x:f>
        <x:v>0</x:v>
      </x:c>
      <x:c r="D15" s="14" t="str">
        <x:v>Universe</x:v>
      </x:c>
      <x:c r="E15" s="14" t="n">
        <x:f>COUNTIF('Test Cases'!C$2:C$173,D15)</x:f>
        <x:v>8</x:v>
      </x:c>
      <x:c r="F15" s="14" t="n">
        <x:f>COUNTIFS('Test Cases'!C$2:C$173,D15,'Test Cases'!K$2:K$173,"PASS")</x:f>
        <x:v>0</x:v>
      </x:c>
      <x:c r="G15" s="14" t="n">
        <x:f>COUNTIFS('Test Cases'!C$2:C$173,D15,'Test Cases'!K$2:K$173,"FAIL")</x:f>
        <x:v>0</x:v>
      </x:c>
      <x:c r="H15" s="14" t="n">
        <x:f>COUNTIFS('Test Cases'!C$2:C$173,D15,'Test Cases'!K$2:K$173,"BLOCKED")</x:f>
        <x:v>0</x:v>
      </x:c>
    </x:row>
    <x:row r="16">
      <x:c r="A16" s="10" t="str">
        <x:v>P1 FAIL/BLOCKED</x:v>
      </x:c>
      <x:c r="B16" t="n">
        <x:f>COUNTIFS('Test Cases'!D2:D173,"P1",'Test Cases'!K2:K173,"FAIL")+COUNTIFS('Test Cases'!D2:D173,"P1",'Test Cases'!K2:K173,"BLOCKED")</x:f>
        <x:v>0</x:v>
      </x:c>
      <x:c r="D16" s="14" t="str">
        <x:v>Futures</x:v>
      </x:c>
      <x:c r="E16" s="14" t="n">
        <x:f>COUNTIF('Test Cases'!C$2:C$173,D16)</x:f>
        <x:v>15</x:v>
      </x:c>
      <x:c r="F16" s="14" t="n">
        <x:f>COUNTIFS('Test Cases'!C$2:C$173,D16,'Test Cases'!K$2:K$173,"PASS")</x:f>
        <x:v>0</x:v>
      </x:c>
      <x:c r="G16" s="14" t="n">
        <x:f>COUNTIFS('Test Cases'!C$2:C$173,D16,'Test Cases'!K$2:K$173,"FAIL")</x:f>
        <x:v>0</x:v>
      </x:c>
      <x:c r="H16" s="14" t="n">
        <x:f>COUNTIFS('Test Cases'!C$2:C$173,D16,'Test Cases'!K$2:K$173,"BLOCKED")</x:f>
        <x:v>0</x:v>
      </x:c>
    </x:row>
    <x:row r="17">
      <x:c r="A17" s="10" t="str">
        <x:v>Go/No-Go PASS items</x:v>
      </x:c>
      <x:c r="B17" t="n">
        <x:f>COUNTIFS('Test Cases'!C2:C173,"Go/No-Go",'Test Cases'!K2:K173,"PASS")</x:f>
        <x:v>0</x:v>
      </x:c>
      <x:c r="D17" s="14" t="str">
        <x:v>Fast Path</x:v>
      </x:c>
      <x:c r="E17" s="14" t="n">
        <x:f>COUNTIF('Test Cases'!C$2:C$173,D17)</x:f>
        <x:v>2</x:v>
      </x:c>
      <x:c r="F17" s="14" t="n">
        <x:f>COUNTIFS('Test Cases'!C$2:C$173,D17,'Test Cases'!K$2:K$173,"PASS")</x:f>
        <x:v>0</x:v>
      </x:c>
      <x:c r="G17" s="14" t="n">
        <x:f>COUNTIFS('Test Cases'!C$2:C$173,D17,'Test Cases'!K$2:K$173,"FAIL")</x:f>
        <x:v>0</x:v>
      </x:c>
      <x:c r="H17" s="14" t="n">
        <x:f>COUNTIFS('Test Cases'!C$2:C$173,D17,'Test Cases'!K$2:K$173,"BLOCKED")</x:f>
        <x:v>0</x:v>
      </x:c>
    </x:row>
    <x:row r="18">
      <x:c r="A18" s="10" t="str">
        <x:v>Technical gate</x:v>
      </x:c>
      <x:c r="B18" s="14" t="str">
        <x:f>IF(AND(B15=0,B16=0),"READY IF HUMAN GATES COMPLETE","NOT READY")</x:f>
        <x:v>READY IF HUMAN GATES COMPLETE</x:v>
      </x:c>
      <x:c r="D18" s="14" t="str">
        <x:v>Motion</x:v>
      </x:c>
      <x:c r="E18" s="14" t="n">
        <x:f>COUNTIF('Test Cases'!C$2:C$173,D18)</x:f>
        <x:v>2</x:v>
      </x:c>
      <x:c r="F18" s="14" t="n">
        <x:f>COUNTIFS('Test Cases'!C$2:C$173,D18,'Test Cases'!K$2:K$173,"PASS")</x:f>
        <x:v>0</x:v>
      </x:c>
      <x:c r="G18" s="14" t="n">
        <x:f>COUNTIFS('Test Cases'!C$2:C$173,D18,'Test Cases'!K$2:K$173,"FAIL")</x:f>
        <x:v>0</x:v>
      </x:c>
      <x:c r="H18" s="14" t="n">
        <x:f>COUNTIFS('Test Cases'!C$2:C$173,D18,'Test Cases'!K$2:K$173,"BLOCKED")</x:f>
        <x:v>0</x:v>
      </x:c>
    </x:row>
    <x:row r="19">
      <x:c r="A19" s="10" t="str">
        <x:v>Final owner decision</x:v>
      </x:c>
      <x:c r="B19" t="str">
        <x:v>ENTER GO / NO-GO</x:v>
      </x:c>
      <x:c r="D19" s="14" t="str">
        <x:v>Executable Plan</x:v>
      </x:c>
      <x:c r="E19" s="14" t="n">
        <x:f>COUNTIF('Test Cases'!C$2:C$173,D19)</x:f>
        <x:v>6</x:v>
      </x:c>
      <x:c r="F19" s="14" t="n">
        <x:f>COUNTIFS('Test Cases'!C$2:C$173,D19,'Test Cases'!K$2:K$173,"PASS")</x:f>
        <x:v>0</x:v>
      </x:c>
      <x:c r="G19" s="14" t="n">
        <x:f>COUNTIFS('Test Cases'!C$2:C$173,D19,'Test Cases'!K$2:K$173,"FAIL")</x:f>
        <x:v>0</x:v>
      </x:c>
      <x:c r="H19" s="14" t="n">
        <x:f>COUNTIFS('Test Cases'!C$2:C$173,D19,'Test Cases'!K$2:K$173,"BLOCKED")</x:f>
        <x:v>0</x:v>
      </x:c>
    </x:row>
    <x:row r="20">
      <x:c r="D20" s="14" t="str">
        <x:v>Delivery</x:v>
      </x:c>
      <x:c r="E20" s="14" t="n">
        <x:f>COUNTIF('Test Cases'!C$2:C$173,D20)</x:f>
        <x:v>11</x:v>
      </x:c>
      <x:c r="F20" s="14" t="n">
        <x:f>COUNTIFS('Test Cases'!C$2:C$173,D20,'Test Cases'!K$2:K$173,"PASS")</x:f>
        <x:v>0</x:v>
      </x:c>
      <x:c r="G20" s="14" t="n">
        <x:f>COUNTIFS('Test Cases'!C$2:C$173,D20,'Test Cases'!K$2:K$173,"FAIL")</x:f>
        <x:v>0</x:v>
      </x:c>
      <x:c r="H20" s="14" t="n">
        <x:f>COUNTIFS('Test Cases'!C$2:C$173,D20,'Test Cases'!K$2:K$173,"BLOCKED")</x:f>
        <x:v>0</x:v>
      </x:c>
    </x:row>
    <x:row r="21">
      <x:c r="D21" s="14" t="str">
        <x:v>GitHub PR</x:v>
      </x:c>
      <x:c r="E21" s="14" t="n">
        <x:f>COUNTIF('Test Cases'!C$2:C$173,D21)</x:f>
        <x:v>4</x:v>
      </x:c>
      <x:c r="F21" s="14" t="n">
        <x:f>COUNTIFS('Test Cases'!C$2:C$173,D21,'Test Cases'!K$2:K$173,"PASS")</x:f>
        <x:v>0</x:v>
      </x:c>
      <x:c r="G21" s="14" t="n">
        <x:f>COUNTIFS('Test Cases'!C$2:C$173,D21,'Test Cases'!K$2:K$173,"FAIL")</x:f>
        <x:v>0</x:v>
      </x:c>
      <x:c r="H21" s="14" t="n">
        <x:f>COUNTIFS('Test Cases'!C$2:C$173,D21,'Test Cases'!K$2:K$173,"BLOCKED")</x:f>
        <x:v>0</x:v>
      </x:c>
    </x:row>
    <x:row r="22">
      <x:c r="D22" s="14" t="str">
        <x:v>Verification</x:v>
      </x:c>
      <x:c r="E22" s="14" t="n">
        <x:f>COUNTIF('Test Cases'!C$2:C$173,D22)</x:f>
        <x:v>4</x:v>
      </x:c>
      <x:c r="F22" s="14" t="n">
        <x:f>COUNTIFS('Test Cases'!C$2:C$173,D22,'Test Cases'!K$2:K$173,"PASS")</x:f>
        <x:v>0</x:v>
      </x:c>
      <x:c r="G22" s="14" t="n">
        <x:f>COUNTIFS('Test Cases'!C$2:C$173,D22,'Test Cases'!K$2:K$173,"FAIL")</x:f>
        <x:v>0</x:v>
      </x:c>
      <x:c r="H22" s="14" t="n">
        <x:f>COUNTIFS('Test Cases'!C$2:C$173,D22,'Test Cases'!K$2:K$173,"BLOCKED")</x:f>
        <x:v>0</x:v>
      </x:c>
    </x:row>
    <x:row r="23">
      <x:c r="D23" s="14" t="str">
        <x:v>Billing</x:v>
      </x:c>
      <x:c r="E23" s="14" t="n">
        <x:f>COUNTIF('Test Cases'!C$2:C$173,D23)</x:f>
        <x:v>7</x:v>
      </x:c>
      <x:c r="F23" s="14" t="n">
        <x:f>COUNTIFS('Test Cases'!C$2:C$173,D23,'Test Cases'!K$2:K$173,"PASS")</x:f>
        <x:v>0</x:v>
      </x:c>
      <x:c r="G23" s="14" t="n">
        <x:f>COUNTIFS('Test Cases'!C$2:C$173,D23,'Test Cases'!K$2:K$173,"FAIL")</x:f>
        <x:v>0</x:v>
      </x:c>
      <x:c r="H23" s="14" t="n">
        <x:f>COUNTIFS('Test Cases'!C$2:C$173,D23,'Test Cases'!K$2:K$173,"BLOCKED")</x:f>
        <x:v>0</x:v>
      </x:c>
    </x:row>
    <x:row r="24">
      <x:c r="D24" s="14" t="str">
        <x:v>Stripe</x:v>
      </x:c>
      <x:c r="E24" s="14" t="n">
        <x:f>COUNTIF('Test Cases'!C$2:C$173,D24)</x:f>
        <x:v>7</x:v>
      </x:c>
      <x:c r="F24" s="14" t="n">
        <x:f>COUNTIFS('Test Cases'!C$2:C$173,D24,'Test Cases'!K$2:K$173,"PASS")</x:f>
        <x:v>0</x:v>
      </x:c>
      <x:c r="G24" s="14" t="n">
        <x:f>COUNTIFS('Test Cases'!C$2:C$173,D24,'Test Cases'!K$2:K$173,"FAIL")</x:f>
        <x:v>0</x:v>
      </x:c>
      <x:c r="H24" s="14" t="n">
        <x:f>COUNTIFS('Test Cases'!C$2:C$173,D24,'Test Cases'!K$2:K$173,"BLOCKED")</x:f>
        <x:v>0</x:v>
      </x:c>
    </x:row>
    <x:row r="25">
      <x:c r="D25" s="14" t="str">
        <x:v>Account</x:v>
      </x:c>
      <x:c r="E25" s="14" t="n">
        <x:f>COUNTIF('Test Cases'!C$2:C$173,D25)</x:f>
        <x:v>1</x:v>
      </x:c>
      <x:c r="F25" s="14" t="n">
        <x:f>COUNTIFS('Test Cases'!C$2:C$173,D25,'Test Cases'!K$2:K$173,"PASS")</x:f>
        <x:v>0</x:v>
      </x:c>
      <x:c r="G25" s="14" t="n">
        <x:f>COUNTIFS('Test Cases'!C$2:C$173,D25,'Test Cases'!K$2:K$173,"FAIL")</x:f>
        <x:v>0</x:v>
      </x:c>
      <x:c r="H25" s="14" t="n">
        <x:f>COUNTIFS('Test Cases'!C$2:C$173,D25,'Test Cases'!K$2:K$173,"BLOCKED")</x:f>
        <x:v>0</x:v>
      </x:c>
    </x:row>
    <x:row r="26">
      <x:c r="D26" s="14" t="str">
        <x:v>Payments</x:v>
      </x:c>
      <x:c r="E26" s="14" t="n">
        <x:f>COUNTIF('Test Cases'!C$2:C$173,D26)</x:f>
        <x:v>1</x:v>
      </x:c>
      <x:c r="F26" s="14" t="n">
        <x:f>COUNTIFS('Test Cases'!C$2:C$173,D26,'Test Cases'!K$2:K$173,"PASS")</x:f>
        <x:v>0</x:v>
      </x:c>
      <x:c r="G26" s="14" t="n">
        <x:f>COUNTIFS('Test Cases'!C$2:C$173,D26,'Test Cases'!K$2:K$173,"FAIL")</x:f>
        <x:v>0</x:v>
      </x:c>
      <x:c r="H26" s="14" t="n">
        <x:f>COUNTIFS('Test Cases'!C$2:C$173,D26,'Test Cases'!K$2:K$173,"BLOCKED")</x:f>
        <x:v>0</x:v>
      </x:c>
    </x:row>
    <x:row r="27">
      <x:c r="D27" s="14" t="str">
        <x:v>Trust</x:v>
      </x:c>
      <x:c r="E27" s="14" t="n">
        <x:f>COUNTIF('Test Cases'!C$2:C$173,D27)</x:f>
        <x:v>9</x:v>
      </x:c>
      <x:c r="F27" s="14" t="n">
        <x:f>COUNTIFS('Test Cases'!C$2:C$173,D27,'Test Cases'!K$2:K$173,"PASS")</x:f>
        <x:v>0</x:v>
      </x:c>
      <x:c r="G27" s="14" t="n">
        <x:f>COUNTIFS('Test Cases'!C$2:C$173,D27,'Test Cases'!K$2:K$173,"FAIL")</x:f>
        <x:v>0</x:v>
      </x:c>
      <x:c r="H27" s="14" t="n">
        <x:f>COUNTIFS('Test Cases'!C$2:C$173,D27,'Test Cases'!K$2:K$173,"BLOCKED")</x:f>
        <x:v>0</x:v>
      </x:c>
    </x:row>
    <x:row r="28">
      <x:c r="D28" s="14" t="str">
        <x:v>Admin</x:v>
      </x:c>
      <x:c r="E28" s="14" t="n">
        <x:f>COUNTIF('Test Cases'!C$2:C$173,D28)</x:f>
        <x:v>6</x:v>
      </x:c>
      <x:c r="F28" s="14" t="n">
        <x:f>COUNTIFS('Test Cases'!C$2:C$173,D28,'Test Cases'!K$2:K$173,"PASS")</x:f>
        <x:v>0</x:v>
      </x:c>
      <x:c r="G28" s="14" t="n">
        <x:f>COUNTIFS('Test Cases'!C$2:C$173,D28,'Test Cases'!K$2:K$173,"FAIL")</x:f>
        <x:v>0</x:v>
      </x:c>
      <x:c r="H28" s="14" t="n">
        <x:f>COUNTIFS('Test Cases'!C$2:C$173,D28,'Test Cases'!K$2:K$173,"BLOCKED")</x:f>
        <x:v>0</x:v>
      </x:c>
    </x:row>
    <x:row r="29">
      <x:c r="D29" s="14" t="str">
        <x:v>Support</x:v>
      </x:c>
      <x:c r="E29" s="14" t="n">
        <x:f>COUNTIF('Test Cases'!C$2:C$173,D29)</x:f>
        <x:v>3</x:v>
      </x:c>
      <x:c r="F29" s="14" t="n">
        <x:f>COUNTIFS('Test Cases'!C$2:C$173,D29,'Test Cases'!K$2:K$173,"PASS")</x:f>
        <x:v>0</x:v>
      </x:c>
      <x:c r="G29" s="14" t="n">
        <x:f>COUNTIFS('Test Cases'!C$2:C$173,D29,'Test Cases'!K$2:K$173,"FAIL")</x:f>
        <x:v>0</x:v>
      </x:c>
      <x:c r="H29" s="14" t="n">
        <x:f>COUNTIFS('Test Cases'!C$2:C$173,D29,'Test Cases'!K$2:K$173,"BLOCKED")</x:f>
        <x:v>0</x:v>
      </x:c>
    </x:row>
    <x:row r="30">
      <x:c r="D30" s="14" t="str">
        <x:v>Observability</x:v>
      </x:c>
      <x:c r="E30" s="14" t="n">
        <x:f>COUNTIF('Test Cases'!C$2:C$173,D30)</x:f>
        <x:v>2</x:v>
      </x:c>
      <x:c r="F30" s="14" t="n">
        <x:f>COUNTIFS('Test Cases'!C$2:C$173,D30,'Test Cases'!K$2:K$173,"PASS")</x:f>
        <x:v>0</x:v>
      </x:c>
      <x:c r="G30" s="14" t="n">
        <x:f>COUNTIFS('Test Cases'!C$2:C$173,D30,'Test Cases'!K$2:K$173,"FAIL")</x:f>
        <x:v>0</x:v>
      </x:c>
      <x:c r="H30" s="14" t="n">
        <x:f>COUNTIFS('Test Cases'!C$2:C$173,D30,'Test Cases'!K$2:K$173,"BLOCKED")</x:f>
        <x:v>0</x:v>
      </x:c>
    </x:row>
    <x:row r="31">
      <x:c r="D31" s="14" t="str">
        <x:v>Recovery</x:v>
      </x:c>
      <x:c r="E31" s="14" t="n">
        <x:f>COUNTIF('Test Cases'!C$2:C$173,D31)</x:f>
        <x:v>6</x:v>
      </x:c>
      <x:c r="F31" s="14" t="n">
        <x:f>COUNTIFS('Test Cases'!C$2:C$173,D31,'Test Cases'!K$2:K$173,"PASS")</x:f>
        <x:v>0</x:v>
      </x:c>
      <x:c r="G31" s="14" t="n">
        <x:f>COUNTIFS('Test Cases'!C$2:C$173,D31,'Test Cases'!K$2:K$173,"FAIL")</x:f>
        <x:v>0</x:v>
      </x:c>
      <x:c r="H31" s="14" t="n">
        <x:f>COUNTIFS('Test Cases'!C$2:C$173,D31,'Test Cases'!K$2:K$173,"BLOCKED")</x:f>
        <x:v>0</x:v>
      </x:c>
    </x:row>
    <x:row r="32">
      <x:c r="D32" s="14" t="str">
        <x:v>Responsive</x:v>
      </x:c>
      <x:c r="E32" s="14" t="n">
        <x:f>COUNTIF('Test Cases'!C$2:C$173,D32)</x:f>
        <x:v>4</x:v>
      </x:c>
      <x:c r="F32" s="14" t="n">
        <x:f>COUNTIFS('Test Cases'!C$2:C$173,D32,'Test Cases'!K$2:K$173,"PASS")</x:f>
        <x:v>0</x:v>
      </x:c>
      <x:c r="G32" s="14" t="n">
        <x:f>COUNTIFS('Test Cases'!C$2:C$173,D32,'Test Cases'!K$2:K$173,"FAIL")</x:f>
        <x:v>0</x:v>
      </x:c>
      <x:c r="H32" s="14" t="n">
        <x:f>COUNTIFS('Test Cases'!C$2:C$173,D32,'Test Cases'!K$2:K$173,"BLOCKED")</x:f>
        <x:v>0</x:v>
      </x:c>
    </x:row>
    <x:row r="33">
      <x:c r="D33" s="14" t="str">
        <x:v>Accessibility</x:v>
      </x:c>
      <x:c r="E33" s="14" t="n">
        <x:f>COUNTIF('Test Cases'!C$2:C$173,D33)</x:f>
        <x:v>5</x:v>
      </x:c>
      <x:c r="F33" s="14" t="n">
        <x:f>COUNTIFS('Test Cases'!C$2:C$173,D33,'Test Cases'!K$2:K$173,"PASS")</x:f>
        <x:v>0</x:v>
      </x:c>
      <x:c r="G33" s="14" t="n">
        <x:f>COUNTIFS('Test Cases'!C$2:C$173,D33,'Test Cases'!K$2:K$173,"FAIL")</x:f>
        <x:v>0</x:v>
      </x:c>
      <x:c r="H33" s="14" t="n">
        <x:f>COUNTIFS('Test Cases'!C$2:C$173,D33,'Test Cases'!K$2:K$173,"BLOCKED")</x:f>
        <x:v>0</x:v>
      </x:c>
    </x:row>
    <x:row r="34">
      <x:c r="D34" s="14" t="str">
        <x:v>Theme</x:v>
      </x:c>
      <x:c r="E34" s="14" t="n">
        <x:f>COUNTIF('Test Cases'!C$2:C$173,D34)</x:f>
        <x:v>3</x:v>
      </x:c>
      <x:c r="F34" s="14" t="n">
        <x:f>COUNTIFS('Test Cases'!C$2:C$173,D34,'Test Cases'!K$2:K$173,"PASS")</x:f>
        <x:v>0</x:v>
      </x:c>
      <x:c r="G34" s="14" t="n">
        <x:f>COUNTIFS('Test Cases'!C$2:C$173,D34,'Test Cases'!K$2:K$173,"FAIL")</x:f>
        <x:v>0</x:v>
      </x:c>
      <x:c r="H34" s="14" t="n">
        <x:f>COUNTIFS('Test Cases'!C$2:C$173,D34,'Test Cases'!K$2:K$173,"BLOCKED")</x:f>
        <x:v>0</x:v>
      </x:c>
    </x:row>
    <x:row r="35">
      <x:c r="D35" s="14" t="str">
        <x:v>Mobile</x:v>
      </x:c>
      <x:c r="E35" s="14" t="n">
        <x:f>COUNTIF('Test Cases'!C$2:C$173,D35)</x:f>
        <x:v>2</x:v>
      </x:c>
      <x:c r="F35" s="14" t="n">
        <x:f>COUNTIFS('Test Cases'!C$2:C$173,D35,'Test Cases'!K$2:K$173,"PASS")</x:f>
        <x:v>0</x:v>
      </x:c>
      <x:c r="G35" s="14" t="n">
        <x:f>COUNTIFS('Test Cases'!C$2:C$173,D35,'Test Cases'!K$2:K$173,"FAIL")</x:f>
        <x:v>0</x:v>
      </x:c>
      <x:c r="H35" s="14" t="n">
        <x:f>COUNTIFS('Test Cases'!C$2:C$173,D35,'Test Cases'!K$2:K$173,"BLOCKED")</x:f>
        <x:v>0</x:v>
      </x:c>
    </x:row>
    <x:row r="36">
      <x:c r="D36" s="14" t="str">
        <x:v>Quality Gates</x:v>
      </x:c>
      <x:c r="E36" s="14" t="n">
        <x:f>COUNTIF('Test Cases'!C$2:C$173,D36)</x:f>
        <x:v>8</x:v>
      </x:c>
      <x:c r="F36" s="14" t="n">
        <x:f>COUNTIFS('Test Cases'!C$2:C$173,D36,'Test Cases'!K$2:K$173,"PASS")</x:f>
        <x:v>0</x:v>
      </x:c>
      <x:c r="G36" s="14" t="n">
        <x:f>COUNTIFS('Test Cases'!C$2:C$173,D36,'Test Cases'!K$2:K$173,"FAIL")</x:f>
        <x:v>0</x:v>
      </x:c>
      <x:c r="H36" s="14" t="n">
        <x:f>COUNTIFS('Test Cases'!C$2:C$173,D36,'Test Cases'!K$2:K$173,"BLOCKED")</x:f>
        <x:v>0</x:v>
      </x:c>
    </x:row>
    <x:row r="37">
      <x:c r="D37" s="14" t="str">
        <x:v>Go/No-Go</x:v>
      </x:c>
      <x:c r="E37" s="14" t="n">
        <x:f>COUNTIF('Test Cases'!C$2:C$173,D37)</x:f>
        <x:v>12</x:v>
      </x:c>
      <x:c r="F37" s="14" t="n">
        <x:f>COUNTIFS('Test Cases'!C$2:C$173,D37,'Test Cases'!K$2:K$173,"PASS")</x:f>
        <x:v>0</x:v>
      </x:c>
      <x:c r="G37" s="14" t="n">
        <x:f>COUNTIFS('Test Cases'!C$2:C$173,D37,'Test Cases'!K$2:K$173,"FAIL")</x:f>
        <x:v>0</x:v>
      </x:c>
      <x:c r="H37" s="14" t="n">
        <x:f>COUNTIFS('Test Cases'!C$2:C$173,D37,'Test Cases'!K$2:K$173,"BLOCKED")</x:f>
        <x:v>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5769e43e086c4f58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18" hidden="0" customWidth="1"/>
    <x:col min="5" max="5" width="18" hidden="0" customWidth="1"/>
    <x:col min="6" max="6" width="20" hidden="0" customWidth="1"/>
    <x:col min="7" max="7" width="14" hidden="0" customWidth="1"/>
    <x:col min="8" max="8" width="38" hidden="0" customWidth="1"/>
  </x:cols>
  <x:sheetData>
    <x:row r="1">
      <x:c r="A1" s="23" t="str">
        <x:v>Type</x:v>
      </x:c>
      <x:c r="B1" s="23" t="str">
        <x:v>Name / Identifier</x:v>
      </x:c>
      <x:c r="C1" s="23" t="str">
        <x:v>Purpose</x:v>
      </x:c>
      <x:c r="D1" s="23" t="str">
        <x:v>Account/Tier</x:v>
      </x:c>
      <x:c r="E1" s="23" t="str">
        <x:v>Safe to mutate?</x:v>
      </x:c>
      <x:c r="F1" s="23" t="str">
        <x:v>Expected size/role</x:v>
      </x:c>
      <x:c r="G1" s="23" t="str">
        <x:v>Status</x:v>
      </x:c>
      <x:c r="H1" s="23" t="str">
        <x:v>Notes</x:v>
      </x:c>
    </x:row>
    <x:row r="2">
      <x:c r="A2" s="14" t="str">
        <x:v>Repository</x:v>
      </x:c>
      <x:c r="B2" s="14" t="str">
        <x:v>Csisz/portfolio_tracker</x:v>
      </x:c>
      <x:c r="C2" s="14" t="str">
        <x:v>Small/weak connected GitHub scan</x:v>
      </x:c>
      <x:c r="D2" s="14" t="str">
        <x:v>Free/Pro</x:v>
      </x:c>
      <x:c r="E2" s="14" t="str">
        <x:v>No</x:v>
      </x:c>
      <x:c r="F2" s="14" t="str">
        <x:v>Small real repo</x:v>
      </x:c>
      <x:c r="G2" s="14" t="str">
        <x:v>READY</x:v>
      </x:c>
      <x:c r="H2" s="14" t="str">
        <x:v>Good for basic scan/evidence</x:v>
      </x:c>
    </x:row>
    <x:row r="3">
      <x:c r="A3" s="14" t="str">
        <x:v>Repository</x:v>
      </x:c>
      <x:c r="B3" s="14" t="str">
        <x:v>Csisz/cantu</x:v>
      </x:c>
      <x:c r="C3" s="14" t="str">
        <x:v>Large connected GitHub / bounded scan / Futures</x:v>
      </x:c>
      <x:c r="D3" s="14" t="str">
        <x:v>Pro</x:v>
      </x:c>
      <x:c r="E3" s="14" t="str">
        <x:v>No</x:v>
      </x:c>
      <x:c r="F3" s="14" t="str">
        <x:v>Large real repo</x:v>
      </x:c>
      <x:c r="G3" s="14" t="str">
        <x:v>READY</x:v>
      </x:c>
      <x:c r="H3" s="14" t="str">
        <x:v>Primary large-repo acceptance</x:v>
      </x:c>
    </x:row>
    <x:row r="4">
      <x:c r="A4" s="14" t="str">
        <x:v>Repository</x:v>
      </x:c>
      <x:c r="B4" s="14" t="str">
        <x:v>Csisz/shipseal-v2</x:v>
      </x:c>
      <x:c r="C4" s="14" t="str">
        <x:v>Public GitHub/self-scan</x:v>
      </x:c>
      <x:c r="D4" s="14" t="str">
        <x:v>Anonymous/Free</x:v>
      </x:c>
      <x:c r="E4" s="14" t="str">
        <x:v>No</x:v>
      </x:c>
      <x:c r="F4" s="14" t="str">
        <x:v>Medium/large public</x:v>
      </x:c>
      <x:c r="G4" s="14" t="str">
        <x:v>READY</x:v>
      </x:c>
      <x:c r="H4" s="14" t="str">
        <x:v>Use public URL path</x:v>
      </x:c>
    </x:row>
    <x:row r="5">
      <x:c r="A5" s="14" t="str">
        <x:v>Repository</x:v>
      </x:c>
      <x:c r="B5" s="14" t="str">
        <x:v>Disposable PR test repo</x:v>
      </x:c>
      <x:c r="C5" s="14" t="str">
        <x:v>GitHub branch/write/PR acceptance</x:v>
      </x:c>
      <x:c r="D5" s="14" t="str">
        <x:v>Free/Pro</x:v>
      </x:c>
      <x:c r="E5" s="14" t="str">
        <x:v>YES</x:v>
      </x:c>
      <x:c r="F5" s="14" t="str">
        <x:v>Small</x:v>
      </x:c>
      <x:c r="G5" s="14" t="str">
        <x:v>NEEDED</x:v>
      </x:c>
      <x:c r="H5" s="14" t="str">
        <x:v>Create before live PR test</x:v>
      </x:c>
    </x:row>
    <x:row r="6">
      <x:c r="A6" s="14" t="str">
        <x:v>Archive</x:v>
      </x:c>
      <x:c r="B6" s="14" t="str">
        <x:v>Valid repository ZIP</x:v>
      </x:c>
      <x:c r="C6" s="14" t="str">
        <x:v>Local ZIP scan</x:v>
      </x:c>
      <x:c r="D6" s="14" t="str">
        <x:v>Free</x:v>
      </x:c>
      <x:c r="E6" s="14" t="str">
        <x:v>No</x:v>
      </x:c>
      <x:c r="F6" s="14" t="str">
        <x:v>Safe known ZIP</x:v>
      </x:c>
      <x:c r="G6" s="14" t="str">
        <x:v>READY</x:v>
      </x:c>
      <x:c r="H6" s="14" t="str">
        <x:v>No secrets</x:v>
      </x:c>
    </x:row>
    <x:row r="7">
      <x:c r="A7" s="14" t="str">
        <x:v>Archive</x:v>
      </x:c>
      <x:c r="B7" s="14" t="str">
        <x:v>Corrupt ZIP fixture</x:v>
      </x:c>
      <x:c r="C7" s="14" t="str">
        <x:v>ZIP error recovery</x:v>
      </x:c>
      <x:c r="D7" s="14" t="str">
        <x:v>Free</x:v>
      </x:c>
      <x:c r="E7" s="14" t="str">
        <x:v>No</x:v>
      </x:c>
      <x:c r="F7" s="14" t="str">
        <x:v>Invalid</x:v>
      </x:c>
      <x:c r="G7" s="14" t="str">
        <x:v>NEEDED</x:v>
      </x:c>
      <x:c r="H7" s="14" t="str">
        <x:v>Fixture only</x:v>
      </x:c>
    </x:row>
    <x:row r="8">
      <x:c r="A8" s="14" t="str">
        <x:v>Archive</x:v>
      </x:c>
      <x:c r="B8" s="14" t="str">
        <x:v>Unsafe path ZIP fixture</x:v>
      </x:c>
      <x:c r="C8" s="14" t="str">
        <x:v>Archive traversal protection</x:v>
      </x:c>
      <x:c r="D8" s="14" t="str">
        <x:v>Free</x:v>
      </x:c>
      <x:c r="E8" s="14" t="str">
        <x:v>No</x:v>
      </x:c>
      <x:c r="F8" s="14" t="str">
        <x:v>Synthetic</x:v>
      </x:c>
      <x:c r="G8" s="14" t="str">
        <x:v>NEEDED</x:v>
      </x:c>
      <x:c r="H8" s="14" t="str">
        <x:v>Fixture only</x:v>
      </x:c>
    </x:row>
    <x:row r="9">
      <x:c r="A9" s="14" t="str">
        <x:v>Account</x:v>
      </x:c>
      <x:c r="B9" s="14" t="str">
        <x:v>Anonymous browser context</x:v>
      </x:c>
      <x:c r="C9" s="14" t="str">
        <x:v>Public/denial/mobile tests</x:v>
      </x:c>
      <x:c r="D9" s="14" t="str">
        <x:v>Anonymous</x:v>
      </x:c>
      <x:c r="E9" s="14" t="str">
        <x:v>No</x:v>
      </x:c>
      <x:c r="F9" s="14" t="str">
        <x:v>No session</x:v>
      </x:c>
      <x:c r="G9" s="14" t="str">
        <x:v>READY</x:v>
      </x:c>
      <x:c r="H9" s="14" t="str">
        <x:v>Incognito/isolated Playwright</x:v>
      </x:c>
    </x:row>
    <x:row r="10">
      <x:c r="A10" s="14" t="str">
        <x:v>Account</x:v>
      </x:c>
      <x:c r="B10" s="14" t="str">
        <x:v>Free ShipSeal account</x:v>
      </x:c>
      <x:c r="C10" s="14" t="str">
        <x:v>Free limits/upgrade/autosave</x:v>
      </x:c>
      <x:c r="D10" s="14" t="str">
        <x:v>Free</x:v>
      </x:c>
      <x:c r="E10" s="14" t="str">
        <x:v>No</x:v>
      </x:c>
      <x:c r="F10" s="14" t="str">
        <x:v>Real test account</x:v>
      </x:c>
      <x:c r="G10" s="14" t="str">
        <x:v>READY</x:v>
      </x:c>
      <x:c r="H10" s="14" t="str">
        <x:v>Use canonical www origin</x:v>
      </x:c>
    </x:row>
    <x:row r="11">
      <x:c r="A11" s="14" t="str">
        <x:v>Account</x:v>
      </x:c>
      <x:c r="B11" s="14" t="str">
        <x:v>Pro ShipSeal account</x:v>
      </x:c>
      <x:c r="C11" s="14" t="str">
        <x:v>Futures/billing/delivery</x:v>
      </x:c>
      <x:c r="D11" s="14" t="str">
        <x:v>Pro</x:v>
      </x:c>
      <x:c r="E11" s="14" t="str">
        <x:v>No</x:v>
      </x:c>
      <x:c r="F11" s="14" t="str">
        <x:v>Real controlled account</x:v>
      </x:c>
      <x:c r="G11" s="14" t="str">
        <x:v>READY</x:v>
      </x:c>
      <x:c r="H11" s="14" t="str">
        <x:v>Watch usage units</x:v>
      </x:c>
    </x:row>
    <x:row r="12">
      <x:c r="A12" s="14" t="str">
        <x:v>Account</x:v>
      </x:c>
      <x:c r="B12" s="14" t="str">
        <x:v>Admin ShipSeal account</x:v>
      </x:c>
      <x:c r="C12" s="14" t="str">
        <x:v>Operations dashboard/support</x:v>
      </x:c>
      <x:c r="D12" s="14" t="str">
        <x:v>Admin</x:v>
      </x:c>
      <x:c r="E12" s="14" t="str">
        <x:v>No</x:v>
      </x:c>
      <x:c r="F12" s="14" t="str">
        <x:v>Allowlisted user</x:v>
      </x:c>
      <x:c r="G12" s="14" t="str">
        <x:v>READY</x:v>
      </x:c>
      <x:c r="H12" s="14" t="str">
        <x:v>SHIPSEAL_ADMIN_USER_IDS</x:v>
      </x:c>
    </x:row>
    <x:row r="13">
      <x:c r="A13" s="14" t="str">
        <x:v>Account</x:v>
      </x:c>
      <x:c r="B13" s="14" t="str">
        <x:v>Second non-admin account</x:v>
      </x:c>
      <x:c r="C13" s="14" t="str">
        <x:v>Admin authorization proof</x:v>
      </x:c>
      <x:c r="D13" s="14" t="str">
        <x:v>Free/Pro</x:v>
      </x:c>
      <x:c r="E13" s="14" t="str">
        <x:v>No</x:v>
      </x:c>
      <x:c r="F13" s="14" t="str">
        <x:v>Separate identity</x:v>
      </x:c>
      <x:c r="G13" s="14" t="str">
        <x:v>OPTIONAL</x:v>
      </x:c>
      <x:c r="H13" s="14" t="str">
        <x:v>If unavailable, controlled fixture</x:v>
      </x:c>
    </x:row>
    <x:row r="14">
      <x:c r="A14" s="14" t="str">
        <x:v>Stripe</x:v>
      </x:c>
      <x:c r="B14" s="14" t="str">
        <x:v>Controlled test customer</x:v>
      </x:c>
      <x:c r="C14" s="14" t="str">
        <x:v>Checkout/portal/cancel/payment-state</x:v>
      </x:c>
      <x:c r="D14" s="14" t="str">
        <x:v>Free→Pro</x:v>
      </x:c>
      <x:c r="E14" s="14" t="str">
        <x:v>No live destructive</x:v>
      </x:c>
      <x:c r="F14" s="14" t="str">
        <x:v>Test/fixture</x:v>
      </x:c>
      <x:c r="G14" s="14" t="str">
        <x:v>READY</x:v>
      </x:c>
      <x:c r="H14" s="14" t="str">
        <x:v>Prefer Stripe test/controlled fixtures</x:v>
      </x:c>
    </x:row>
  </x:sheetData>
  <x:pageMargins left="0.7" right="0.7" top="0.75" bottom="0.75" header="0.3" footer="0.3"/>
  <x:tableParts count="1">
    <x:tablePart xmlns:r="http://schemas.openxmlformats.org/officeDocument/2006/relationships" r:id="Re6b151e440234d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10" hidden="0" customWidth="1"/>
    <x:col min="5" max="5" width="14" hidden="0" customWidth="1"/>
    <x:col min="6" max="6" width="18" hidden="0" customWidth="1"/>
    <x:col min="7" max="7" width="42" hidden="0" customWidth="1"/>
    <x:col min="8" max="8" width="38" hidden="0" customWidth="1"/>
    <x:col min="9" max="9" width="38" hidden="0" customWidth="1"/>
    <x:col min="10" max="10" width="18" hidden="0" customWidth="1"/>
    <x:col min="11" max="11" width="32" hidden="0" customWidth="1"/>
    <x:col min="12" max="12" width="40" hidden="0" customWidth="1"/>
  </x:cols>
  <x:sheetData>
    <x:row r="1">
      <x:c r="A1" s="23" t="str">
        <x:v>Defect ID</x:v>
      </x:c>
      <x:c r="B1" s="23" t="str">
        <x:v>Test ID</x:v>
      </x:c>
      <x:c r="C1" s="23" t="str">
        <x:v>Title</x:v>
      </x:c>
      <x:c r="D1" s="23" t="str">
        <x:v>Severity</x:v>
      </x:c>
      <x:c r="E1" s="23" t="str">
        <x:v>Status</x:v>
      </x:c>
      <x:c r="F1" s="23" t="str">
        <x:v>Environment</x:v>
      </x:c>
      <x:c r="G1" s="23" t="str">
        <x:v>Steps / Trigger</x:v>
      </x:c>
      <x:c r="H1" s="23" t="str">
        <x:v>Expected</x:v>
      </x:c>
      <x:c r="I1" s="23" t="str">
        <x:v>Actual</x:v>
      </x:c>
      <x:c r="J1" s="23" t="str">
        <x:v>Owner</x:v>
      </x:c>
      <x:c r="K1" s="23" t="str">
        <x:v>Evidence</x:v>
      </x:c>
      <x:c r="L1" s="23" t="str">
        <x:v>Resolution / Retest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</x:row>
  </x:sheetData>
  <x:dataValidations count="2">
    <x:dataValidation type="list" sqref="D2:D300">
      <x:formula1>"P0,P1,P2"</x:formula1>
    </x:dataValidation>
    <x:dataValidation type="list" sqref="E2:E300">
      <x:formula1>"OPEN,FIXED,RETEST,CLOSED,WONTFIX"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dabc71d9554b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0" hidden="0" customWidth="1"/>
    <x:col min="4" max="4" width="12" hidden="0" customWidth="1"/>
    <x:col min="5" max="5" width="14" hidden="0" customWidth="1"/>
    <x:col min="6" max="6" width="36" hidden="0" customWidth="1"/>
    <x:col min="7" max="7" width="42" hidden="0" customWidth="1"/>
  </x:cols>
  <x:sheetData>
    <x:row r="1">
      <x:c r="A1" s="23" t="str">
        <x:v>Gate</x:v>
      </x:c>
      <x:c r="B1" s="23" t="str">
        <x:v>Owner</x:v>
      </x:c>
      <x:c r="C1" s="23" t="str">
        <x:v>Decision / Value</x:v>
      </x:c>
      <x:c r="D1" s="23" t="str">
        <x:v>Required?</x:v>
      </x:c>
      <x:c r="E1" s="23" t="str">
        <x:v>Status</x:v>
      </x:c>
      <x:c r="F1" s="23" t="str">
        <x:v>Evidence / Link</x:v>
      </x:c>
      <x:c r="G1" s="23" t="str">
        <x:v>Notes</x:v>
      </x:c>
    </x:row>
    <x:row r="2">
      <x:c r="A2" s="14" t="str">
        <x:v>P0 defects</x:v>
      </x:c>
      <x:c r="B2" s="14" t="str">
        <x:v>QA owner</x:v>
      </x:c>
      <x:c r="C2" s="14" t="str">
        <x:v>0</x:v>
      </x:c>
      <x:c r="D2" s="14" t="str">
        <x:v>YES</x:v>
      </x:c>
      <x:c r="E2" s="14" t="str">
        <x:v>PENDING</x:v>
      </x:c>
      <x:c r="F2" s="14" t="str"/>
      <x:c r="G2" s="14" t="str">
        <x:v>Must be zero</x:v>
      </x:c>
    </x:row>
    <x:row r="3">
      <x:c r="A3" s="14" t="str">
        <x:v>P1 defects</x:v>
      </x:c>
      <x:c r="B3" s="14" t="str">
        <x:v>QA owner</x:v>
      </x:c>
      <x:c r="C3" s="14" t="str">
        <x:v>0 or approved exception</x:v>
      </x:c>
      <x:c r="D3" s="14" t="str">
        <x:v>YES</x:v>
      </x:c>
      <x:c r="E3" s="14" t="str">
        <x:v>PENDING</x:v>
      </x:c>
      <x:c r="F3" s="14" t="str"/>
      <x:c r="G3" s="14" t="str">
        <x:v>Prefer zero</x:v>
      </x:c>
    </x:row>
    <x:row r="4">
      <x:c r="A4" s="14" t="str">
        <x:v>Admin daily monitoring owner</x:v>
      </x:c>
      <x:c r="B4" s="14" t="str"/>
      <x:c r="C4" s="14" t="str"/>
      <x:c r="D4" s="14" t="str">
        <x:v>YES</x:v>
      </x:c>
      <x:c r="E4" s="14" t="str">
        <x:v>PENDING</x:v>
      </x:c>
      <x:c r="F4" s="14" t="str"/>
      <x:c r="G4" s="14" t="str">
        <x:v>Name one person</x:v>
      </x:c>
    </x:row>
    <x:row r="5">
      <x:c r="A5" s="14" t="str">
        <x:v>Support owner</x:v>
      </x:c>
      <x:c r="B5" s="14" t="str"/>
      <x:c r="C5" s="14" t="str"/>
      <x:c r="D5" s="14" t="str">
        <x:v>YES</x:v>
      </x:c>
      <x:c r="E5" s="14" t="str">
        <x:v>PENDING</x:v>
      </x:c>
      <x:c r="F5" s="14" t="str"/>
      <x:c r="G5" s="14" t="str">
        <x:v>Who answers beta users</x:v>
      </x:c>
    </x:row>
    <x:row r="6">
      <x:c r="A6" s="14" t="str">
        <x:v>Incident owner</x:v>
      </x:c>
      <x:c r="B6" s="14" t="str"/>
      <x:c r="C6" s="14" t="str"/>
      <x:c r="D6" s="14" t="str">
        <x:v>YES</x:v>
      </x:c>
      <x:c r="E6" s="14" t="str">
        <x:v>PENDING</x:v>
      </x:c>
      <x:c r="F6" s="14" t="str"/>
      <x:c r="G6" s="14" t="str">
        <x:v>Who coordinates failures</x:v>
      </x:c>
    </x:row>
    <x:row r="7">
      <x:c r="A7" s="14" t="str">
        <x:v>Rollback owner/procedure</x:v>
      </x:c>
      <x:c r="B7" s="14" t="str"/>
      <x:c r="C7" s="14" t="str"/>
      <x:c r="D7" s="14" t="str">
        <x:v>YES</x:v>
      </x:c>
      <x:c r="E7" s="14" t="str">
        <x:v>PENDING</x:v>
      </x:c>
      <x:c r="F7" s="14" t="str"/>
      <x:c r="G7" s="14" t="str">
        <x:v>Define trigger + Vercel rollback procedure</x:v>
      </x:c>
    </x:row>
    <x:row r="8">
      <x:c r="A8" s="14" t="str">
        <x:v>Operational-event retention</x:v>
      </x:c>
      <x:c r="B8" s="14" t="str"/>
      <x:c r="C8" s="14" t="str"/>
      <x:c r="D8" s="14" t="str">
        <x:v>YES</x:v>
      </x:c>
      <x:c r="E8" s="14" t="str">
        <x:v>PENDING</x:v>
      </x:c>
      <x:c r="F8" s="14" t="str"/>
      <x:c r="G8" s="14" t="str">
        <x:v>Human/legal policy decision</x:v>
      </x:c>
    </x:row>
    <x:row r="9">
      <x:c r="A9" s="14" t="str">
        <x:v>Legal/compliance review</x:v>
      </x:c>
      <x:c r="B9" s="14" t="str"/>
      <x:c r="C9" s="14" t="str"/>
      <x:c r="D9" s="14" t="str">
        <x:v>YES</x:v>
      </x:c>
      <x:c r="E9" s="14" t="str">
        <x:v>PENDING</x:v>
      </x:c>
      <x:c r="F9" s="14" t="str"/>
      <x:c r="G9" s="14" t="str">
        <x:v>Terms/Privacy/Security/AI claims</x:v>
      </x:c>
    </x:row>
    <x:row r="10">
      <x:c r="A10" s="14" t="str">
        <x:v>Closed-beta Wave 0 cohort</x:v>
      </x:c>
      <x:c r="B10" s="14" t="str"/>
      <x:c r="C10" s="14" t="str">
        <x:v>2–3 users</x:v>
      </x:c>
      <x:c r="D10" s="14" t="str">
        <x:v>YES</x:v>
      </x:c>
      <x:c r="E10" s="14" t="str">
        <x:v>PENDING</x:v>
      </x:c>
      <x:c r="F10" s="14" t="str"/>
      <x:c r="G10" s="14" t="str">
        <x:v>Prefer known testers first</x:v>
      </x:c>
    </x:row>
    <x:row r="11">
      <x:c r="A11" s="14" t="str">
        <x:v>Stripe/business mode</x:v>
      </x:c>
      <x:c r="B11" s="14" t="str"/>
      <x:c r="C11" s="14" t="str"/>
      <x:c r="D11" s="14" t="str">
        <x:v>YES</x:v>
      </x:c>
      <x:c r="E11" s="14" t="str">
        <x:v>PENDING</x:v>
      </x:c>
      <x:c r="F11" s="14" t="str"/>
      <x:c r="G11" s="14" t="str">
        <x:v>Test/live business decision</x:v>
      </x:c>
    </x:row>
    <x:row r="12">
      <x:c r="A12" s="14" t="str">
        <x:v>External alerting</x:v>
      </x:c>
      <x:c r="B12" s="14" t="str"/>
      <x:c r="C12" s="14" t="str">
        <x:v>Admin/logs sufficient?</x:v>
      </x:c>
      <x:c r="D12" s="14" t="str">
        <x:v>NO</x:v>
      </x:c>
      <x:c r="E12" s="14" t="str">
        <x:v>PENDING</x:v>
      </x:c>
      <x:c r="F12" s="14" t="str"/>
      <x:c r="G12" s="14" t="str">
        <x:v>May remain post-beta</x:v>
      </x:c>
    </x:row>
    <x:row r="13">
      <x:c r="A13" s="14" t="str">
        <x:v>Daily beta checklist</x:v>
      </x:c>
      <x:c r="B13" s="14" t="str"/>
      <x:c r="C13" s="14" t="str"/>
      <x:c r="D13" s="14" t="str">
        <x:v>YES</x:v>
      </x:c>
      <x:c r="E13" s="14" t="str">
        <x:v>PENDING</x:v>
      </x:c>
      <x:c r="F13" s="14" t="str"/>
      <x:c r="G13" s="14" t="str">
        <x:v>Admin → budget → failed ops → Stripe → support</x:v>
      </x:c>
    </x:row>
    <x:row r="14">
      <x:c r="A14" s="14" t="str">
        <x:v>Final Go/No-Go</x:v>
      </x:c>
      <x:c r="B14" s="14" t="str"/>
      <x:c r="C14" s="14" t="str"/>
      <x:c r="D14" s="14" t="str">
        <x:v>YES</x:v>
      </x:c>
      <x:c r="E14" s="14" t="str">
        <x:v>PENDING</x:v>
      </x:c>
      <x:c r="F14" s="14" t="str"/>
      <x:c r="G14" s="14" t="str">
        <x:v>Explicit owner decision</x:v>
      </x:c>
    </x:row>
  </x:sheetData>
  <x:dataValidations count="1">
    <x:dataValidation type="list" sqref="E2:E14">
      <x:formula1>"PENDING,PASS,FAIL,N/A"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491996fcd54ba3"/>
  </x:tableParts>
</x:worksheet>
</file>